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hushan Yadav\Desktop\Coding Ninjas\2. Excel\2.1 Excel Case Study\"/>
    </mc:Choice>
  </mc:AlternateContent>
  <bookViews>
    <workbookView xWindow="0" yWindow="0" windowWidth="19200" windowHeight="7190" tabRatio="880" firstSheet="1" activeTab="3"/>
  </bookViews>
  <sheets>
    <sheet name="All_India_Index_Upto_April23_My" sheetId="1" r:id="rId1"/>
    <sheet name="CPI_Updated" sheetId="2" r:id="rId2"/>
    <sheet name="Pivot" sheetId="9" r:id="rId3"/>
    <sheet name="Q1_Solution" sheetId="4" r:id="rId4"/>
    <sheet name="Q2_Solution" sheetId="10" r:id="rId5"/>
    <sheet name="Q3Support" sheetId="20" r:id="rId6"/>
    <sheet name="Q3_Solution" sheetId="17" r:id="rId7"/>
    <sheet name="Q4_Solution" sheetId="23" r:id="rId8"/>
    <sheet name="Q5Solution" sheetId="25" r:id="rId9"/>
  </sheets>
  <definedNames>
    <definedName name="_xlnm._FilterDatabase" localSheetId="0" hidden="1">All_India_Index_Upto_April23_My!$A$2:$AI$374</definedName>
    <definedName name="_xlnm._FilterDatabase" localSheetId="1" hidden="1">CPI_Updated!$A$1:$Q$370</definedName>
    <definedName name="_xlnm._FilterDatabase" localSheetId="6" hidden="1">Q3_Solution!$A$1:$P$22</definedName>
    <definedName name="_xlnm._FilterDatabase" localSheetId="5" hidden="1">Q3Support!$A$1:$R$37</definedName>
    <definedName name="_xlnm._FilterDatabase" localSheetId="8" hidden="1">Q5Solution!$A$1:$T$88</definedName>
  </definedNames>
  <calcPr calcId="152511"/>
  <pivotCaches>
    <pivotCache cacheId="46" r:id="rId10"/>
    <pivotCache cacheId="51" r:id="rId11"/>
    <pivotCache cacheId="54" r:id="rId12"/>
    <pivotCache cacheId="56" r:id="rId13"/>
  </pivotCaches>
</workbook>
</file>

<file path=xl/calcChain.xml><?xml version="1.0" encoding="utf-8"?>
<calcChain xmlns="http://schemas.openxmlformats.org/spreadsheetml/2006/main">
  <c r="H89" i="25" l="1"/>
  <c r="P89" i="25"/>
  <c r="O89" i="25"/>
  <c r="N89" i="25"/>
  <c r="M89" i="25"/>
  <c r="L89" i="25"/>
  <c r="K89" i="25"/>
  <c r="J89" i="25"/>
  <c r="I89" i="25"/>
  <c r="Q89" i="25"/>
  <c r="R89" i="25"/>
  <c r="S89" i="25"/>
  <c r="E43" i="20"/>
  <c r="E38" i="20"/>
  <c r="E41" i="20"/>
  <c r="F41" i="20"/>
  <c r="G41" i="20"/>
  <c r="H41" i="20"/>
  <c r="I41" i="20"/>
  <c r="J41" i="20"/>
  <c r="K41" i="20"/>
  <c r="L41" i="20"/>
  <c r="M41" i="20"/>
  <c r="N41" i="20"/>
  <c r="O41" i="20"/>
  <c r="P41" i="20"/>
  <c r="Q41" i="20"/>
  <c r="R41" i="20"/>
  <c r="F38" i="20"/>
  <c r="G38" i="20"/>
  <c r="H38" i="20"/>
  <c r="I38" i="20"/>
  <c r="J38" i="20"/>
  <c r="K38" i="20"/>
  <c r="L38" i="20"/>
  <c r="M38" i="20"/>
  <c r="N38" i="20"/>
  <c r="O38" i="20"/>
  <c r="P38" i="20"/>
  <c r="Q38" i="20"/>
  <c r="R38" i="20"/>
  <c r="F39" i="20"/>
  <c r="G39" i="20"/>
  <c r="H39" i="20"/>
  <c r="I39" i="20"/>
  <c r="J39" i="20"/>
  <c r="K39" i="20"/>
  <c r="L39" i="20"/>
  <c r="M39" i="20"/>
  <c r="N39" i="20"/>
  <c r="O39" i="20"/>
  <c r="P39" i="20"/>
  <c r="Q39" i="20"/>
  <c r="R39" i="20"/>
  <c r="F40" i="20"/>
  <c r="G40" i="20"/>
  <c r="H40" i="20"/>
  <c r="I40" i="20"/>
  <c r="J40" i="20"/>
  <c r="K40" i="20"/>
  <c r="L40" i="20"/>
  <c r="M40" i="20"/>
  <c r="N40" i="20"/>
  <c r="O40" i="20"/>
  <c r="P40" i="20"/>
  <c r="Q40" i="20"/>
  <c r="R40" i="20"/>
  <c r="E40" i="20"/>
  <c r="E39" i="20"/>
  <c r="E39" i="17"/>
  <c r="E40" i="17"/>
  <c r="E38" i="17"/>
  <c r="D7" i="4" l="1"/>
  <c r="T5" i="23"/>
  <c r="S5" i="23"/>
  <c r="S6" i="23" l="1"/>
  <c r="S7" i="23"/>
  <c r="N8" i="23"/>
  <c r="O8" i="23"/>
  <c r="P8" i="23"/>
  <c r="R8" i="23"/>
  <c r="M8" i="23"/>
  <c r="S8" i="23" l="1"/>
  <c r="R48" i="17"/>
  <c r="T6" i="23" l="1"/>
  <c r="T7" i="23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" i="1"/>
  <c r="D3" i="17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2" i="17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39" i="2"/>
  <c r="D240" i="2"/>
  <c r="D241" i="2"/>
  <c r="D236" i="2"/>
  <c r="D237" i="2"/>
  <c r="D238" i="2"/>
  <c r="D233" i="2"/>
  <c r="D234" i="2"/>
  <c r="D235" i="2"/>
  <c r="D227" i="2"/>
  <c r="D228" i="2"/>
  <c r="D229" i="2"/>
  <c r="D248" i="2"/>
  <c r="D249" i="2"/>
  <c r="D250" i="2"/>
  <c r="D245" i="2"/>
  <c r="D246" i="2"/>
  <c r="D247" i="2"/>
  <c r="D242" i="2"/>
  <c r="D243" i="2"/>
  <c r="D244" i="2"/>
  <c r="D230" i="2"/>
  <c r="D231" i="2"/>
  <c r="D232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2" i="2"/>
  <c r="Q2" i="2" l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" i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39" i="2"/>
  <c r="Q240" i="2"/>
  <c r="Q241" i="2"/>
  <c r="Q236" i="2"/>
  <c r="Q237" i="2"/>
  <c r="Q238" i="2"/>
  <c r="Q233" i="2"/>
  <c r="Q234" i="2"/>
  <c r="Q235" i="2"/>
  <c r="Q227" i="2"/>
  <c r="Q228" i="2"/>
  <c r="Q229" i="2"/>
  <c r="Q248" i="2"/>
  <c r="Q249" i="2"/>
  <c r="Q250" i="2"/>
  <c r="Q245" i="2"/>
  <c r="Q246" i="2"/>
  <c r="Q247" i="2"/>
  <c r="Q242" i="2"/>
  <c r="Q243" i="2"/>
  <c r="Q244" i="2"/>
  <c r="Q230" i="2"/>
  <c r="Q231" i="2"/>
  <c r="Q232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E9" i="4" l="1"/>
  <c r="H9" i="4"/>
  <c r="I9" i="4"/>
  <c r="L9" i="4"/>
  <c r="M9" i="4"/>
  <c r="E7" i="4"/>
  <c r="F7" i="4"/>
  <c r="I7" i="4"/>
  <c r="J7" i="4"/>
  <c r="O3" i="4"/>
  <c r="G8" i="4" s="1"/>
  <c r="O4" i="4"/>
  <c r="F9" i="4" s="1"/>
  <c r="O2" i="4"/>
  <c r="P2" i="4" s="1"/>
  <c r="J8" i="4" l="1"/>
  <c r="I8" i="4"/>
  <c r="E8" i="4"/>
  <c r="L7" i="4"/>
  <c r="H7" i="4"/>
  <c r="D8" i="4"/>
  <c r="K9" i="4"/>
  <c r="G9" i="4"/>
  <c r="L8" i="4"/>
  <c r="H8" i="4"/>
  <c r="M7" i="4"/>
  <c r="F8" i="4"/>
  <c r="M8" i="4"/>
  <c r="K7" i="4"/>
  <c r="G7" i="4"/>
  <c r="D9" i="4"/>
  <c r="J9" i="4"/>
  <c r="K8" i="4"/>
</calcChain>
</file>

<file path=xl/sharedStrings.xml><?xml version="1.0" encoding="utf-8"?>
<sst xmlns="http://schemas.openxmlformats.org/spreadsheetml/2006/main" count="2988" uniqueCount="156">
  <si>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</si>
  <si>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</si>
  <si>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</si>
  <si>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</si>
  <si>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</si>
  <si>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</si>
  <si>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</si>
  <si>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</si>
  <si>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</si>
  <si>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</si>
  <si>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</si>
  <si>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</si>
  <si>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</si>
  <si>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</si>
  <si>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</si>
  <si>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</si>
  <si>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</si>
  <si>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</si>
  <si>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</si>
  <si>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</si>
  <si>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</si>
  <si>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</si>
  <si>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</si>
  <si>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</si>
  <si>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</si>
  <si>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</si>
  <si>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</si>
  <si>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</si>
  <si>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</si>
  <si>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</si>
  <si>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</si>
  <si>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</si>
  <si>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</si>
  <si>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</si>
  <si>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</si>
  <si>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</si>
  <si>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</si>
  <si>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</si>
  <si>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</si>
  <si>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</si>
  <si>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</si>
  <si>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</si>
  <si>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</si>
  <si>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</si>
  <si>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</si>
  <si>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</si>
  <si>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</si>
  <si>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</si>
  <si>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</si>
  <si>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Food</t>
  </si>
  <si>
    <t>Food Total</t>
  </si>
  <si>
    <t>Overall Total</t>
  </si>
  <si>
    <t>Row Labels</t>
  </si>
  <si>
    <t>Grand Total</t>
  </si>
  <si>
    <t>Sum of Overall Total</t>
  </si>
  <si>
    <t>Clothing Updated</t>
  </si>
  <si>
    <t>Housing Updated</t>
  </si>
  <si>
    <t>Health Updated</t>
  </si>
  <si>
    <t>MMYY</t>
  </si>
  <si>
    <t>April-2023</t>
  </si>
  <si>
    <t>August-2022</t>
  </si>
  <si>
    <t>December-2022</t>
  </si>
  <si>
    <t>February-2023</t>
  </si>
  <si>
    <t>January-2023</t>
  </si>
  <si>
    <t>July-2022</t>
  </si>
  <si>
    <t>June-2022</t>
  </si>
  <si>
    <t>March-2023</t>
  </si>
  <si>
    <t>May-2023</t>
  </si>
  <si>
    <t>November-2022</t>
  </si>
  <si>
    <t>October-2022</t>
  </si>
  <si>
    <t>September-2022</t>
  </si>
  <si>
    <t>Sum of Food</t>
  </si>
  <si>
    <t>Sum of Cereals and products</t>
  </si>
  <si>
    <t>Sum of Meat and fish</t>
  </si>
  <si>
    <t>Sum of Egg</t>
  </si>
  <si>
    <t>Sum of Milk and products</t>
  </si>
  <si>
    <t>Sum of Oils and fats</t>
  </si>
  <si>
    <t>Sum of Fruits</t>
  </si>
  <si>
    <t>Sum of Vegetables</t>
  </si>
  <si>
    <t>Sum of Pulses and products</t>
  </si>
  <si>
    <t>Sum of Sugar and Confectionery</t>
  </si>
  <si>
    <t>Sum of Spices</t>
  </si>
  <si>
    <t>Sum of Non-alcoholic beverages</t>
  </si>
  <si>
    <t>Sum of Prepared meals, snacks, sweets etc.</t>
  </si>
  <si>
    <t>Sum of Food and beverages</t>
  </si>
  <si>
    <t>Total</t>
  </si>
  <si>
    <t>Food - Sub Category</t>
  </si>
  <si>
    <t xml:space="preserve">*Remark: </t>
  </si>
  <si>
    <t>a) May 2023 is the highest month and Jun 2022 is the lowest month for food Inflation</t>
  </si>
  <si>
    <t>Pre_Covid</t>
  </si>
  <si>
    <t>Post_Covid</t>
  </si>
  <si>
    <t>During_Covid</t>
  </si>
  <si>
    <t>Post Covid</t>
  </si>
  <si>
    <t>%</t>
  </si>
  <si>
    <t>Ref</t>
  </si>
  <si>
    <t>Sum of Clothing and footwear</t>
  </si>
  <si>
    <t>Sum of Housing</t>
  </si>
  <si>
    <t>Sum of Health</t>
  </si>
  <si>
    <t>Sum of Fuel and light</t>
  </si>
  <si>
    <t>Multiple Bar Graph a)</t>
  </si>
  <si>
    <t>Multiple Bar Graph b)</t>
  </si>
  <si>
    <t>Covid Status</t>
  </si>
  <si>
    <t>Apr'22 - May'23</t>
  </si>
  <si>
    <t>Jan'13 - Mar'19</t>
  </si>
  <si>
    <t>Sum of Transport and communication</t>
  </si>
  <si>
    <t>*Remark: Not much changes seen before and during covid .
a significant increse in inflation after covid</t>
  </si>
  <si>
    <t>There was already some inflation before COVID, but it increased sharply after the pandemic began</t>
  </si>
  <si>
    <t>April-2021</t>
  </si>
  <si>
    <t>April-2022</t>
  </si>
  <si>
    <t>August-2021</t>
  </si>
  <si>
    <t>December-2021</t>
  </si>
  <si>
    <t>February-2021</t>
  </si>
  <si>
    <t>February-2022</t>
  </si>
  <si>
    <t>January-2021</t>
  </si>
  <si>
    <t>January-2022</t>
  </si>
  <si>
    <t>July-2021</t>
  </si>
  <si>
    <t>June-2021</t>
  </si>
  <si>
    <t>March-2021</t>
  </si>
  <si>
    <t>March-2022</t>
  </si>
  <si>
    <t>May-2021</t>
  </si>
  <si>
    <t>May-2022</t>
  </si>
  <si>
    <t>November-2021</t>
  </si>
  <si>
    <t>October-2021</t>
  </si>
  <si>
    <t>September-2021</t>
  </si>
  <si>
    <t>Crude Oil Price</t>
  </si>
  <si>
    <t>Correlation Value</t>
  </si>
  <si>
    <t>Correlation Remark</t>
  </si>
  <si>
    <t>Weak +</t>
  </si>
  <si>
    <t>Strong +</t>
  </si>
  <si>
    <r>
      <rPr>
        <b/>
        <sz val="11"/>
        <color theme="1"/>
        <rFont val="Calibri"/>
        <family val="2"/>
        <scheme val="minor"/>
      </rPr>
      <t>*Remark</t>
    </r>
    <r>
      <rPr>
        <sz val="11"/>
        <color theme="1"/>
        <rFont val="Calibri"/>
        <family val="2"/>
        <charset val="1"/>
        <scheme val="minor"/>
      </rPr>
      <t xml:space="preserve">: </t>
    </r>
  </si>
  <si>
    <t>a) Latest month - May 2023</t>
  </si>
  <si>
    <t>b) Food category has the highest contribution towards the CPI.</t>
  </si>
  <si>
    <t>a) 2022 is the year with highest inflation</t>
  </si>
  <si>
    <t>b) India’s inflation in 2022 surged due to global shocks like the Russia-Ukraine war and pandemic disruptions, combined with domestic factors such as heatwave-hit harvests and rising essential costs.</t>
  </si>
  <si>
    <t>c) Meat and fish is the biggest individual category contributor towards food Inflation</t>
  </si>
  <si>
    <t>Jun'22 - May'23</t>
  </si>
  <si>
    <t>Absolute Change</t>
  </si>
  <si>
    <t>June 2022 vs May 2023</t>
  </si>
  <si>
    <t>Overall Sector</t>
  </si>
  <si>
    <t>Biggest positive contributor</t>
  </si>
  <si>
    <t>Strong positive contributor</t>
  </si>
  <si>
    <t>Moderate positive contributor</t>
  </si>
  <si>
    <t>Small positive contributor</t>
  </si>
  <si>
    <t>Negative contributor</t>
  </si>
  <si>
    <t>Major negative drag on food inflation</t>
  </si>
  <si>
    <t>Biggest negative drag on food inflation</t>
  </si>
  <si>
    <t>Remark</t>
  </si>
  <si>
    <t>Diff</t>
  </si>
  <si>
    <t>b) In sub category, Spices (+91.4) we found highest absolute change</t>
  </si>
  <si>
    <t>latest - oldes</t>
  </si>
  <si>
    <t>Comparision</t>
  </si>
  <si>
    <t>10th</t>
  </si>
  <si>
    <t>15th</t>
  </si>
  <si>
    <t>12th</t>
  </si>
  <si>
    <t>Crude Oil Price (INR)</t>
  </si>
  <si>
    <r>
      <t xml:space="preserve">*Remark: </t>
    </r>
    <r>
      <rPr>
        <sz val="11"/>
        <color theme="1"/>
        <rFont val="Calibri"/>
        <family val="2"/>
        <scheme val="minor"/>
      </rPr>
      <t>Excluding "Pan, tobacco and intoxicants" category, for all categories we observed a very strong co-relation and inflation increases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</si>
</sst>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charset val="1"/>
      <scheme val="minor"/>
    </font>
    <font>
      <b/>
      <i/>
      <u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0" fillId="0" borderId="10" xfId="0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18" fillId="33" borderId="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8" fillId="38" borderId="0" xfId="0" applyFont="1" applyFill="1" applyBorder="1" applyAlignment="1">
      <alignment horizontal="center" vertical="center"/>
    </xf>
    <xf numFmtId="0" fontId="18" fillId="38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10" fontId="0" fillId="0" borderId="10" xfId="1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0" fillId="0" borderId="0" xfId="0" pivotButton="1"/>
    <xf numFmtId="0" fontId="16" fillId="39" borderId="12" xfId="0" applyFont="1" applyFill="1" applyBorder="1" applyAlignment="1">
      <alignment horizontal="left"/>
    </xf>
    <xf numFmtId="0" fontId="16" fillId="39" borderId="11" xfId="0" applyFont="1" applyFill="1" applyBorder="1"/>
    <xf numFmtId="0" fontId="0" fillId="0" borderId="0" xfId="0" applyBorder="1" applyAlignment="1">
      <alignment horizontal="left" vertical="center"/>
    </xf>
    <xf numFmtId="0" fontId="16" fillId="39" borderId="11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6" fillId="39" borderId="12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left"/>
    </xf>
    <xf numFmtId="0" fontId="0" fillId="35" borderId="0" xfId="0" applyFill="1" applyAlignment="1">
      <alignment horizontal="left"/>
    </xf>
    <xf numFmtId="0" fontId="0" fillId="36" borderId="0" xfId="0" applyFill="1" applyAlignment="1">
      <alignment horizontal="left"/>
    </xf>
    <xf numFmtId="0" fontId="0" fillId="37" borderId="0" xfId="0" applyFill="1" applyAlignment="1">
      <alignment horizontal="left"/>
    </xf>
    <xf numFmtId="0" fontId="0" fillId="34" borderId="0" xfId="0" applyFill="1" applyAlignment="1">
      <alignment horizontal="left"/>
    </xf>
    <xf numFmtId="164" fontId="0" fillId="0" borderId="0" xfId="0" applyNumberFormat="1" applyAlignment="1">
      <alignment horizontal="center" vertical="center"/>
    </xf>
    <xf numFmtId="0" fontId="18" fillId="34" borderId="0" xfId="0" applyFont="1" applyFill="1" applyBorder="1" applyAlignment="1">
      <alignment horizontal="center" vertical="center"/>
    </xf>
    <xf numFmtId="0" fontId="0" fillId="36" borderId="0" xfId="0" applyFill="1"/>
    <xf numFmtId="0" fontId="0" fillId="36" borderId="0" xfId="0" applyFill="1" applyAlignment="1">
      <alignment horizontal="center" vertical="center"/>
    </xf>
    <xf numFmtId="0" fontId="0" fillId="36" borderId="0" xfId="0" applyNumberFormat="1" applyFill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/>
    </xf>
    <xf numFmtId="0" fontId="0" fillId="40" borderId="0" xfId="0" applyFill="1" applyAlignment="1">
      <alignment horizontal="left"/>
    </xf>
    <xf numFmtId="0" fontId="0" fillId="0" borderId="0" xfId="0" applyNumberFormat="1"/>
    <xf numFmtId="0" fontId="18" fillId="0" borderId="0" xfId="0" applyFont="1" applyFill="1" applyAlignment="1">
      <alignment horizontal="left"/>
    </xf>
    <xf numFmtId="0" fontId="0" fillId="0" borderId="0" xfId="0" applyNumberFormat="1" applyBorder="1" applyAlignment="1">
      <alignment horizontal="center" vertical="center"/>
    </xf>
    <xf numFmtId="0" fontId="20" fillId="0" borderId="0" xfId="0" applyFont="1" applyBorder="1" applyAlignment="1">
      <alignment horizontal="left" vertical="center"/>
    </xf>
    <xf numFmtId="0" fontId="20" fillId="0" borderId="0" xfId="0" applyNumberFormat="1" applyFont="1" applyBorder="1" applyAlignment="1">
      <alignment horizontal="center" vertical="center"/>
    </xf>
    <xf numFmtId="0" fontId="16" fillId="36" borderId="0" xfId="0" applyFont="1" applyFill="1" applyBorder="1" applyAlignment="1">
      <alignment horizontal="left"/>
    </xf>
    <xf numFmtId="0" fontId="16" fillId="36" borderId="0" xfId="0" applyNumberFormat="1" applyFont="1" applyFill="1" applyBorder="1" applyAlignment="1">
      <alignment horizontal="center" vertical="center"/>
    </xf>
    <xf numFmtId="0" fontId="18" fillId="0" borderId="0" xfId="0" applyFont="1" applyAlignment="1"/>
    <xf numFmtId="0" fontId="21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center" vertical="center"/>
    </xf>
    <xf numFmtId="0" fontId="22" fillId="38" borderId="0" xfId="0" applyFont="1" applyFill="1" applyBorder="1" applyAlignment="1">
      <alignment horizontal="center" vertical="center"/>
    </xf>
    <xf numFmtId="0" fontId="22" fillId="33" borderId="0" xfId="0" applyFont="1" applyFill="1" applyBorder="1" applyAlignment="1">
      <alignment horizontal="center" vertical="center"/>
    </xf>
    <xf numFmtId="0" fontId="22" fillId="34" borderId="0" xfId="0" applyFont="1" applyFill="1" applyBorder="1" applyAlignment="1">
      <alignment horizontal="center" vertical="center"/>
    </xf>
    <xf numFmtId="0" fontId="18" fillId="33" borderId="0" xfId="0" applyFont="1" applyFill="1"/>
    <xf numFmtId="17" fontId="0" fillId="35" borderId="0" xfId="0" applyNumberFormat="1" applyFill="1" applyAlignment="1">
      <alignment horizontal="center" vertical="center"/>
    </xf>
    <xf numFmtId="17" fontId="20" fillId="35" borderId="0" xfId="0" applyNumberFormat="1" applyFont="1" applyFill="1" applyAlignment="1">
      <alignment horizontal="center" vertical="center"/>
    </xf>
    <xf numFmtId="17" fontId="19" fillId="40" borderId="0" xfId="0" applyNumberFormat="1" applyFont="1" applyFill="1" applyAlignment="1">
      <alignment horizontal="center" vertical="center"/>
    </xf>
    <xf numFmtId="17" fontId="19" fillId="41" borderId="0" xfId="0" applyNumberFormat="1" applyFont="1" applyFill="1" applyAlignment="1">
      <alignment horizontal="center" vertical="center"/>
    </xf>
    <xf numFmtId="0" fontId="19" fillId="0" borderId="11" xfId="0" applyFont="1" applyBorder="1" applyAlignment="1">
      <alignment horizontal="left"/>
    </xf>
    <xf numFmtId="0" fontId="19" fillId="0" borderId="11" xfId="0" applyNumberFormat="1" applyFont="1" applyBorder="1" applyAlignment="1">
      <alignment horizontal="center" vertical="center"/>
    </xf>
    <xf numFmtId="10" fontId="19" fillId="0" borderId="11" xfId="1" applyNumberFormat="1" applyFont="1" applyBorder="1" applyAlignment="1">
      <alignment horizontal="center" vertical="center"/>
    </xf>
    <xf numFmtId="0" fontId="19" fillId="0" borderId="0" xfId="0" applyFont="1" applyFill="1" applyBorder="1" applyAlignment="1">
      <alignment horizontal="left"/>
    </xf>
    <xf numFmtId="0" fontId="23" fillId="40" borderId="0" xfId="0" applyFont="1" applyFill="1" applyBorder="1" applyAlignment="1">
      <alignment horizontal="center" vertical="center"/>
    </xf>
    <xf numFmtId="0" fontId="18" fillId="0" borderId="0" xfId="0" applyFont="1"/>
    <xf numFmtId="0" fontId="20" fillId="0" borderId="0" xfId="0" applyFont="1"/>
    <xf numFmtId="0" fontId="22" fillId="0" borderId="0" xfId="0" applyFont="1" applyFill="1" applyBorder="1" applyAlignment="1">
      <alignment horizontal="left" vertical="center"/>
    </xf>
    <xf numFmtId="164" fontId="22" fillId="0" borderId="0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8" fillId="38" borderId="13" xfId="0" applyFont="1" applyFill="1" applyBorder="1" applyAlignment="1">
      <alignment horizontal="center" vertical="center"/>
    </xf>
    <xf numFmtId="0" fontId="18" fillId="38" borderId="14" xfId="0" applyFont="1" applyFill="1" applyBorder="1" applyAlignment="1">
      <alignment horizontal="center" vertical="center"/>
    </xf>
    <xf numFmtId="0" fontId="18" fillId="34" borderId="14" xfId="0" applyFont="1" applyFill="1" applyBorder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18" fillId="33" borderId="15" xfId="0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/>
    <xf numFmtId="0" fontId="0" fillId="0" borderId="15" xfId="0" applyBorder="1"/>
    <xf numFmtId="0" fontId="0" fillId="0" borderId="0" xfId="0" applyBorder="1"/>
    <xf numFmtId="0" fontId="0" fillId="0" borderId="17" xfId="0" applyBorder="1"/>
    <xf numFmtId="0" fontId="0" fillId="0" borderId="19" xfId="0" applyBorder="1"/>
    <xf numFmtId="0" fontId="0" fillId="0" borderId="20" xfId="0" applyBorder="1"/>
    <xf numFmtId="0" fontId="0" fillId="0" borderId="14" xfId="0" applyBorder="1" applyAlignment="1">
      <alignment horizontal="center" vertical="center"/>
    </xf>
    <xf numFmtId="0" fontId="0" fillId="37" borderId="13" xfId="0" applyFill="1" applyBorder="1" applyAlignment="1">
      <alignment horizontal="left" vertical="center"/>
    </xf>
    <xf numFmtId="0" fontId="0" fillId="37" borderId="14" xfId="0" applyFill="1" applyBorder="1"/>
    <xf numFmtId="0" fontId="0" fillId="37" borderId="14" xfId="0" applyFill="1" applyBorder="1" applyAlignment="1">
      <alignment horizontal="center" vertical="center"/>
    </xf>
    <xf numFmtId="0" fontId="0" fillId="37" borderId="16" xfId="0" applyFill="1" applyBorder="1" applyAlignment="1">
      <alignment horizontal="left" vertical="center"/>
    </xf>
    <xf numFmtId="0" fontId="0" fillId="37" borderId="0" xfId="0" applyFill="1" applyBorder="1"/>
    <xf numFmtId="0" fontId="0" fillId="37" borderId="0" xfId="0" applyFill="1" applyBorder="1" applyAlignment="1">
      <alignment horizontal="center" vertical="center"/>
    </xf>
    <xf numFmtId="0" fontId="0" fillId="37" borderId="18" xfId="0" applyFill="1" applyBorder="1" applyAlignment="1">
      <alignment horizontal="left" vertical="center"/>
    </xf>
    <xf numFmtId="0" fontId="0" fillId="37" borderId="19" xfId="0" applyFill="1" applyBorder="1"/>
    <xf numFmtId="0" fontId="0" fillId="42" borderId="0" xfId="0" applyFill="1" applyBorder="1" applyAlignment="1">
      <alignment horizontal="left" vertical="center"/>
    </xf>
    <xf numFmtId="0" fontId="0" fillId="0" borderId="13" xfId="0" applyFill="1" applyBorder="1" applyAlignment="1">
      <alignment horizontal="left"/>
    </xf>
    <xf numFmtId="0" fontId="0" fillId="0" borderId="14" xfId="0" applyFill="1" applyBorder="1" applyAlignment="1">
      <alignment horizontal="left"/>
    </xf>
    <xf numFmtId="0" fontId="0" fillId="42" borderId="16" xfId="0" applyFill="1" applyBorder="1" applyAlignment="1">
      <alignment horizontal="left"/>
    </xf>
    <xf numFmtId="0" fontId="0" fillId="42" borderId="0" xfId="0" applyFill="1" applyBorder="1" applyAlignment="1">
      <alignment horizontal="left"/>
    </xf>
    <xf numFmtId="0" fontId="0" fillId="0" borderId="16" xfId="0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42" borderId="18" xfId="0" applyFill="1" applyBorder="1" applyAlignment="1">
      <alignment horizontal="left"/>
    </xf>
    <xf numFmtId="0" fontId="0" fillId="42" borderId="19" xfId="0" applyFill="1" applyBorder="1" applyAlignment="1">
      <alignment horizontal="left"/>
    </xf>
    <xf numFmtId="0" fontId="0" fillId="42" borderId="19" xfId="0" applyFill="1" applyBorder="1" applyAlignment="1">
      <alignment horizontal="left" vertical="center"/>
    </xf>
    <xf numFmtId="0" fontId="0" fillId="33" borderId="14" xfId="0" applyFill="1" applyBorder="1" applyAlignment="1">
      <alignment horizontal="center" vertical="center"/>
    </xf>
    <xf numFmtId="0" fontId="0" fillId="40" borderId="15" xfId="0" applyFill="1" applyBorder="1" applyAlignment="1">
      <alignment horizontal="center" vertical="center"/>
    </xf>
    <xf numFmtId="0" fontId="0" fillId="42" borderId="0" xfId="0" applyFill="1" applyBorder="1" applyAlignment="1">
      <alignment horizontal="center" vertical="center"/>
    </xf>
    <xf numFmtId="0" fontId="0" fillId="42" borderId="17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42" borderId="19" xfId="0" applyFill="1" applyBorder="1" applyAlignment="1">
      <alignment horizontal="center" vertical="center"/>
    </xf>
    <xf numFmtId="0" fontId="0" fillId="42" borderId="20" xfId="0" applyFill="1" applyBorder="1" applyAlignment="1">
      <alignment horizontal="center" vertical="center"/>
    </xf>
    <xf numFmtId="0" fontId="0" fillId="37" borderId="15" xfId="0" applyFill="1" applyBorder="1" applyAlignment="1">
      <alignment horizontal="center" vertical="center"/>
    </xf>
    <xf numFmtId="0" fontId="0" fillId="37" borderId="17" xfId="0" applyFill="1" applyBorder="1" applyAlignment="1">
      <alignment horizontal="center" vertical="center"/>
    </xf>
    <xf numFmtId="0" fontId="20" fillId="37" borderId="21" xfId="0" applyFont="1" applyFill="1" applyBorder="1" applyAlignment="1">
      <alignment horizontal="left" vertical="center"/>
    </xf>
    <xf numFmtId="0" fontId="20" fillId="37" borderId="22" xfId="0" applyFont="1" applyFill="1" applyBorder="1"/>
    <xf numFmtId="0" fontId="20" fillId="0" borderId="22" xfId="0" applyFont="1" applyBorder="1" applyAlignment="1">
      <alignment horizontal="center" vertical="center"/>
    </xf>
    <xf numFmtId="0" fontId="20" fillId="37" borderId="23" xfId="0" applyFont="1" applyFill="1" applyBorder="1" applyAlignment="1">
      <alignment horizontal="center" vertical="center"/>
    </xf>
    <xf numFmtId="0" fontId="23" fillId="40" borderId="10" xfId="0" applyFont="1" applyFill="1" applyBorder="1" applyAlignment="1">
      <alignment horizontal="center" vertical="center"/>
    </xf>
    <xf numFmtId="0" fontId="17" fillId="0" borderId="0" xfId="0" applyFont="1"/>
    <xf numFmtId="0" fontId="0" fillId="0" borderId="0" xfId="0" applyFill="1"/>
    <xf numFmtId="0" fontId="24" fillId="0" borderId="0" xfId="0" applyFont="1" applyFill="1"/>
    <xf numFmtId="9" fontId="0" fillId="0" borderId="0" xfId="1" applyFont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2" fontId="21" fillId="0" borderId="0" xfId="0" applyNumberFormat="1" applyFont="1" applyBorder="1" applyAlignment="1">
      <alignment horizontal="left" vertical="center"/>
    </xf>
    <xf numFmtId="0" fontId="25" fillId="38" borderId="0" xfId="0" applyFont="1" applyFill="1" applyBorder="1" applyAlignment="1">
      <alignment horizontal="center" vertical="center"/>
    </xf>
    <xf numFmtId="0" fontId="25" fillId="34" borderId="0" xfId="0" applyFont="1" applyFill="1" applyBorder="1" applyAlignment="1">
      <alignment horizontal="center" vertical="center"/>
    </xf>
    <xf numFmtId="0" fontId="25" fillId="33" borderId="0" xfId="0" applyFont="1" applyFill="1" applyBorder="1" applyAlignment="1">
      <alignment horizontal="center" vertical="center"/>
    </xf>
    <xf numFmtId="0" fontId="23" fillId="38" borderId="0" xfId="0" applyFont="1" applyFill="1" applyBorder="1" applyAlignment="1">
      <alignment horizontal="center" vertical="center"/>
    </xf>
    <xf numFmtId="0" fontId="23" fillId="33" borderId="0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left" vertical="center"/>
    </xf>
    <xf numFmtId="14" fontId="26" fillId="0" borderId="0" xfId="0" applyNumberFormat="1" applyFont="1" applyFill="1" applyBorder="1" applyAlignment="1">
      <alignment horizontal="left" vertical="center"/>
    </xf>
    <xf numFmtId="0" fontId="26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left" vertical="center"/>
    </xf>
    <xf numFmtId="0" fontId="27" fillId="0" borderId="0" xfId="0" applyFont="1" applyFill="1" applyBorder="1" applyAlignment="1">
      <alignment horizontal="center" vertical="center"/>
    </xf>
    <xf numFmtId="0" fontId="27" fillId="0" borderId="0" xfId="0" applyFont="1" applyBorder="1" applyAlignment="1">
      <alignment horizontal="left" vertical="center"/>
    </xf>
    <xf numFmtId="0" fontId="27" fillId="0" borderId="0" xfId="0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51">
    <dxf>
      <font>
        <strike val="0"/>
        <outline val="0"/>
        <shadow val="0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numFmt numFmtId="164" formatCode="0.0"/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>
          <bgColor theme="2" tint="-0.249977111117893"/>
        </patternFill>
      </fill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numFmt numFmtId="164" formatCode="0.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Q1_Solution!$A$7:$C$7</c:f>
              <c:strCache>
                <c:ptCount val="3"/>
                <c:pt idx="0">
                  <c:v>Rural</c:v>
                </c:pt>
                <c:pt idx="1">
                  <c:v>2023</c:v>
                </c:pt>
                <c:pt idx="2">
                  <c:v>May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Q1_Solution!$D$6:$M$6</c:f>
              <c:strCache>
                <c:ptCount val="10"/>
                <c:pt idx="0">
                  <c:v>Food</c:v>
                </c:pt>
                <c:pt idx="1">
                  <c:v>Clothing and footwear</c:v>
                </c:pt>
                <c:pt idx="2">
                  <c:v>Housing</c:v>
                </c:pt>
                <c:pt idx="3">
                  <c:v>Health</c:v>
                </c:pt>
                <c:pt idx="4">
                  <c:v>Fuel and light</c:v>
                </c:pt>
                <c:pt idx="5">
                  <c:v>Transport and communication</c:v>
                </c:pt>
                <c:pt idx="6">
                  <c:v>Recreation and amusement</c:v>
                </c:pt>
                <c:pt idx="7">
                  <c:v>Education</c:v>
                </c:pt>
                <c:pt idx="8">
                  <c:v>Pan, tobacco and intoxicants</c:v>
                </c:pt>
                <c:pt idx="9">
                  <c:v>Miscellaneous</c:v>
                </c:pt>
              </c:strCache>
            </c:strRef>
          </c:cat>
          <c:val>
            <c:numRef>
              <c:f>Q1_Solution!$D$7:$M$7</c:f>
              <c:numCache>
                <c:formatCode>0.00%</c:formatCode>
                <c:ptCount val="10"/>
                <c:pt idx="0">
                  <c:v>0.4900521992127333</c:v>
                </c:pt>
                <c:pt idx="1">
                  <c:v>0.12191939072394319</c:v>
                </c:pt>
                <c:pt idx="2">
                  <c:v>7.6031148382680117E-2</c:v>
                </c:pt>
                <c:pt idx="3">
                  <c:v>7.9732158137942835E-2</c:v>
                </c:pt>
                <c:pt idx="4">
                  <c:v>3.9042443950025665E-2</c:v>
                </c:pt>
                <c:pt idx="5">
                  <c:v>3.6304124593530711E-2</c:v>
                </c:pt>
                <c:pt idx="6">
                  <c:v>3.7181242512408008E-2</c:v>
                </c:pt>
                <c:pt idx="7">
                  <c:v>3.8571795310628099E-2</c:v>
                </c:pt>
                <c:pt idx="8">
                  <c:v>4.2764846825260994E-2</c:v>
                </c:pt>
                <c:pt idx="9">
                  <c:v>3.8400650350847165E-2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7739568"/>
        <c:axId val="1397736304"/>
      </c:barChart>
      <c:catAx>
        <c:axId val="139773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36304"/>
        <c:crosses val="autoZero"/>
        <c:auto val="1"/>
        <c:lblAlgn val="ctr"/>
        <c:lblOffset val="100"/>
        <c:noMultiLvlLbl val="0"/>
      </c:catAx>
      <c:valAx>
        <c:axId val="1397736304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39773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Q1_Solution!$A$8:$C$8</c:f>
              <c:strCache>
                <c:ptCount val="3"/>
                <c:pt idx="0">
                  <c:v>Urban</c:v>
                </c:pt>
                <c:pt idx="1">
                  <c:v>2023</c:v>
                </c:pt>
                <c:pt idx="2">
                  <c:v>May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Q1_Solution!$D$6:$M$6</c:f>
              <c:strCache>
                <c:ptCount val="10"/>
                <c:pt idx="0">
                  <c:v>Food</c:v>
                </c:pt>
                <c:pt idx="1">
                  <c:v>Clothing and footwear</c:v>
                </c:pt>
                <c:pt idx="2">
                  <c:v>Housing</c:v>
                </c:pt>
                <c:pt idx="3">
                  <c:v>Health</c:v>
                </c:pt>
                <c:pt idx="4">
                  <c:v>Fuel and light</c:v>
                </c:pt>
                <c:pt idx="5">
                  <c:v>Transport and communication</c:v>
                </c:pt>
                <c:pt idx="6">
                  <c:v>Recreation and amusement</c:v>
                </c:pt>
                <c:pt idx="7">
                  <c:v>Education</c:v>
                </c:pt>
                <c:pt idx="8">
                  <c:v>Pan, tobacco and intoxicants</c:v>
                </c:pt>
                <c:pt idx="9">
                  <c:v>Miscellaneous</c:v>
                </c:pt>
              </c:strCache>
            </c:strRef>
          </c:cat>
          <c:val>
            <c:numRef>
              <c:f>Q1_Solution!$D$8:$M$8</c:f>
              <c:numCache>
                <c:formatCode>0.00%</c:formatCode>
                <c:ptCount val="10"/>
                <c:pt idx="0">
                  <c:v>0.50315671529229233</c:v>
                </c:pt>
                <c:pt idx="1">
                  <c:v>0.11392186860307267</c:v>
                </c:pt>
                <c:pt idx="2">
                  <c:v>7.4489861880238734E-2</c:v>
                </c:pt>
                <c:pt idx="3">
                  <c:v>7.9251869249499007E-2</c:v>
                </c:pt>
                <c:pt idx="4">
                  <c:v>3.9518196901463076E-2</c:v>
                </c:pt>
                <c:pt idx="5">
                  <c:v>3.4562261630287229E-2</c:v>
                </c:pt>
                <c:pt idx="6">
                  <c:v>3.6458445560128415E-2</c:v>
                </c:pt>
                <c:pt idx="7">
                  <c:v>3.7665108060936453E-2</c:v>
                </c:pt>
                <c:pt idx="8">
                  <c:v>4.4000086190178624E-2</c:v>
                </c:pt>
                <c:pt idx="9">
                  <c:v>3.6975586631903291E-2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7750992"/>
        <c:axId val="1397752624"/>
      </c:barChart>
      <c:catAx>
        <c:axId val="139775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52624"/>
        <c:crosses val="autoZero"/>
        <c:auto val="1"/>
        <c:lblAlgn val="ctr"/>
        <c:lblOffset val="100"/>
        <c:noMultiLvlLbl val="0"/>
      </c:catAx>
      <c:valAx>
        <c:axId val="1397752624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39775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Q1_Solution!$A$9:$C$9</c:f>
              <c:strCache>
                <c:ptCount val="3"/>
                <c:pt idx="0">
                  <c:v>Rural+Urban</c:v>
                </c:pt>
                <c:pt idx="1">
                  <c:v>2023</c:v>
                </c:pt>
                <c:pt idx="2">
                  <c:v>May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Q1_Solution!$D$6:$M$6</c:f>
              <c:strCache>
                <c:ptCount val="10"/>
                <c:pt idx="0">
                  <c:v>Food</c:v>
                </c:pt>
                <c:pt idx="1">
                  <c:v>Clothing and footwear</c:v>
                </c:pt>
                <c:pt idx="2">
                  <c:v>Housing</c:v>
                </c:pt>
                <c:pt idx="3">
                  <c:v>Health</c:v>
                </c:pt>
                <c:pt idx="4">
                  <c:v>Fuel and light</c:v>
                </c:pt>
                <c:pt idx="5">
                  <c:v>Transport and communication</c:v>
                </c:pt>
                <c:pt idx="6">
                  <c:v>Recreation and amusement</c:v>
                </c:pt>
                <c:pt idx="7">
                  <c:v>Education</c:v>
                </c:pt>
                <c:pt idx="8">
                  <c:v>Pan, tobacco and intoxicants</c:v>
                </c:pt>
                <c:pt idx="9">
                  <c:v>Miscellaneous</c:v>
                </c:pt>
              </c:strCache>
            </c:strRef>
          </c:cat>
          <c:val>
            <c:numRef>
              <c:f>Q1_Solution!$D$9:$M$9</c:f>
              <c:numCache>
                <c:formatCode>0.00%</c:formatCode>
                <c:ptCount val="10"/>
                <c:pt idx="0">
                  <c:v>0.49563853557923671</c:v>
                </c:pt>
                <c:pt idx="1">
                  <c:v>0.11885527672739771</c:v>
                </c:pt>
                <c:pt idx="2">
                  <c:v>7.5369542798212411E-2</c:v>
                </c:pt>
                <c:pt idx="3">
                  <c:v>7.9688037126160169E-2</c:v>
                </c:pt>
                <c:pt idx="4">
                  <c:v>3.9274664833276032E-2</c:v>
                </c:pt>
                <c:pt idx="5">
                  <c:v>3.540735647988999E-2</c:v>
                </c:pt>
                <c:pt idx="6">
                  <c:v>3.6782399449982801E-2</c:v>
                </c:pt>
                <c:pt idx="7">
                  <c:v>3.8050017188037112E-2</c:v>
                </c:pt>
                <c:pt idx="8">
                  <c:v>4.3184943279477472E-2</c:v>
                </c:pt>
                <c:pt idx="9">
                  <c:v>3.7749226538329309E-2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7747184"/>
        <c:axId val="1397749360"/>
      </c:barChart>
      <c:catAx>
        <c:axId val="139774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49360"/>
        <c:crosses val="autoZero"/>
        <c:auto val="1"/>
        <c:lblAlgn val="ctr"/>
        <c:lblOffset val="100"/>
        <c:noMultiLvlLbl val="0"/>
      </c:catAx>
      <c:valAx>
        <c:axId val="1397749360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397747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Q1_Solution!$A$7:$C$7</c:f>
              <c:strCache>
                <c:ptCount val="3"/>
                <c:pt idx="0">
                  <c:v>Rural</c:v>
                </c:pt>
                <c:pt idx="1">
                  <c:v>2023</c:v>
                </c:pt>
                <c:pt idx="2">
                  <c:v>May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Q1_Solution!$D$6:$M$6</c:f>
              <c:strCache>
                <c:ptCount val="10"/>
                <c:pt idx="0">
                  <c:v>Food</c:v>
                </c:pt>
                <c:pt idx="1">
                  <c:v>Clothing and footwear</c:v>
                </c:pt>
                <c:pt idx="2">
                  <c:v>Housing</c:v>
                </c:pt>
                <c:pt idx="3">
                  <c:v>Health</c:v>
                </c:pt>
                <c:pt idx="4">
                  <c:v>Fuel and light</c:v>
                </c:pt>
                <c:pt idx="5">
                  <c:v>Transport and communication</c:v>
                </c:pt>
                <c:pt idx="6">
                  <c:v>Recreation and amusement</c:v>
                </c:pt>
                <c:pt idx="7">
                  <c:v>Education</c:v>
                </c:pt>
                <c:pt idx="8">
                  <c:v>Pan, tobacco and intoxicants</c:v>
                </c:pt>
                <c:pt idx="9">
                  <c:v>Miscellaneous</c:v>
                </c:pt>
              </c:strCache>
            </c:strRef>
          </c:cat>
          <c:val>
            <c:numRef>
              <c:f>Q1_Solution!$D$7:$M$7</c:f>
              <c:numCache>
                <c:formatCode>0.00%</c:formatCode>
                <c:ptCount val="10"/>
                <c:pt idx="0">
                  <c:v>0.4900521992127333</c:v>
                </c:pt>
                <c:pt idx="1">
                  <c:v>0.12191939072394319</c:v>
                </c:pt>
                <c:pt idx="2">
                  <c:v>7.6031148382680117E-2</c:v>
                </c:pt>
                <c:pt idx="3">
                  <c:v>7.9732158137942835E-2</c:v>
                </c:pt>
                <c:pt idx="4">
                  <c:v>3.9042443950025665E-2</c:v>
                </c:pt>
                <c:pt idx="5">
                  <c:v>3.6304124593530711E-2</c:v>
                </c:pt>
                <c:pt idx="6">
                  <c:v>3.7181242512408008E-2</c:v>
                </c:pt>
                <c:pt idx="7">
                  <c:v>3.8571795310628099E-2</c:v>
                </c:pt>
                <c:pt idx="8">
                  <c:v>4.2764846825260994E-2</c:v>
                </c:pt>
                <c:pt idx="9">
                  <c:v>3.8400650350847165E-2</c:v>
                </c:pt>
              </c:numCache>
            </c:numRef>
          </c:val>
        </c:ser>
        <c:ser>
          <c:idx val="1"/>
          <c:order val="1"/>
          <c:tx>
            <c:strRef>
              <c:f>Q1_Solution!$A$8:$C$8</c:f>
              <c:strCache>
                <c:ptCount val="3"/>
                <c:pt idx="0">
                  <c:v>Urban</c:v>
                </c:pt>
                <c:pt idx="1">
                  <c:v>2023</c:v>
                </c:pt>
                <c:pt idx="2">
                  <c:v>May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Q1_Solution!$D$6:$M$6</c:f>
              <c:strCache>
                <c:ptCount val="10"/>
                <c:pt idx="0">
                  <c:v>Food</c:v>
                </c:pt>
                <c:pt idx="1">
                  <c:v>Clothing and footwear</c:v>
                </c:pt>
                <c:pt idx="2">
                  <c:v>Housing</c:v>
                </c:pt>
                <c:pt idx="3">
                  <c:v>Health</c:v>
                </c:pt>
                <c:pt idx="4">
                  <c:v>Fuel and light</c:v>
                </c:pt>
                <c:pt idx="5">
                  <c:v>Transport and communication</c:v>
                </c:pt>
                <c:pt idx="6">
                  <c:v>Recreation and amusement</c:v>
                </c:pt>
                <c:pt idx="7">
                  <c:v>Education</c:v>
                </c:pt>
                <c:pt idx="8">
                  <c:v>Pan, tobacco and intoxicants</c:v>
                </c:pt>
                <c:pt idx="9">
                  <c:v>Miscellaneous</c:v>
                </c:pt>
              </c:strCache>
            </c:strRef>
          </c:cat>
          <c:val>
            <c:numRef>
              <c:f>Q1_Solution!$D$8:$M$8</c:f>
              <c:numCache>
                <c:formatCode>0.00%</c:formatCode>
                <c:ptCount val="10"/>
                <c:pt idx="0">
                  <c:v>0.50315671529229233</c:v>
                </c:pt>
                <c:pt idx="1">
                  <c:v>0.11392186860307267</c:v>
                </c:pt>
                <c:pt idx="2">
                  <c:v>7.4489861880238734E-2</c:v>
                </c:pt>
                <c:pt idx="3">
                  <c:v>7.9251869249499007E-2</c:v>
                </c:pt>
                <c:pt idx="4">
                  <c:v>3.9518196901463076E-2</c:v>
                </c:pt>
                <c:pt idx="5">
                  <c:v>3.4562261630287229E-2</c:v>
                </c:pt>
                <c:pt idx="6">
                  <c:v>3.6458445560128415E-2</c:v>
                </c:pt>
                <c:pt idx="7">
                  <c:v>3.7665108060936453E-2</c:v>
                </c:pt>
                <c:pt idx="8">
                  <c:v>4.4000086190178624E-2</c:v>
                </c:pt>
                <c:pt idx="9">
                  <c:v>3.6975586631903291E-2</c:v>
                </c:pt>
              </c:numCache>
            </c:numRef>
          </c:val>
        </c:ser>
        <c:ser>
          <c:idx val="2"/>
          <c:order val="2"/>
          <c:tx>
            <c:strRef>
              <c:f>Q1_Solution!$A$9:$C$9</c:f>
              <c:strCache>
                <c:ptCount val="3"/>
                <c:pt idx="0">
                  <c:v>Rural+Urban</c:v>
                </c:pt>
                <c:pt idx="1">
                  <c:v>2023</c:v>
                </c:pt>
                <c:pt idx="2">
                  <c:v>May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Q1_Solution!$D$6:$M$6</c:f>
              <c:strCache>
                <c:ptCount val="10"/>
                <c:pt idx="0">
                  <c:v>Food</c:v>
                </c:pt>
                <c:pt idx="1">
                  <c:v>Clothing and footwear</c:v>
                </c:pt>
                <c:pt idx="2">
                  <c:v>Housing</c:v>
                </c:pt>
                <c:pt idx="3">
                  <c:v>Health</c:v>
                </c:pt>
                <c:pt idx="4">
                  <c:v>Fuel and light</c:v>
                </c:pt>
                <c:pt idx="5">
                  <c:v>Transport and communication</c:v>
                </c:pt>
                <c:pt idx="6">
                  <c:v>Recreation and amusement</c:v>
                </c:pt>
                <c:pt idx="7">
                  <c:v>Education</c:v>
                </c:pt>
                <c:pt idx="8">
                  <c:v>Pan, tobacco and intoxicants</c:v>
                </c:pt>
                <c:pt idx="9">
                  <c:v>Miscellaneous</c:v>
                </c:pt>
              </c:strCache>
            </c:strRef>
          </c:cat>
          <c:val>
            <c:numRef>
              <c:f>Q1_Solution!$D$9:$M$9</c:f>
              <c:numCache>
                <c:formatCode>0.00%</c:formatCode>
                <c:ptCount val="10"/>
                <c:pt idx="0">
                  <c:v>0.49563853557923671</c:v>
                </c:pt>
                <c:pt idx="1">
                  <c:v>0.11885527672739771</c:v>
                </c:pt>
                <c:pt idx="2">
                  <c:v>7.5369542798212411E-2</c:v>
                </c:pt>
                <c:pt idx="3">
                  <c:v>7.9688037126160169E-2</c:v>
                </c:pt>
                <c:pt idx="4">
                  <c:v>3.9274664833276032E-2</c:v>
                </c:pt>
                <c:pt idx="5">
                  <c:v>3.540735647988999E-2</c:v>
                </c:pt>
                <c:pt idx="6">
                  <c:v>3.6782399449982801E-2</c:v>
                </c:pt>
                <c:pt idx="7">
                  <c:v>3.8050017188037112E-2</c:v>
                </c:pt>
                <c:pt idx="8">
                  <c:v>4.3184943279477472E-2</c:v>
                </c:pt>
                <c:pt idx="9">
                  <c:v>3.7749226538329309E-2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7737392"/>
        <c:axId val="1397753168"/>
      </c:barChart>
      <c:catAx>
        <c:axId val="139773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53168"/>
        <c:crosses val="autoZero"/>
        <c:auto val="1"/>
        <c:lblAlgn val="ctr"/>
        <c:lblOffset val="100"/>
        <c:noMultiLvlLbl val="0"/>
      </c:catAx>
      <c:valAx>
        <c:axId val="1397753168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397737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[All_India_Index_Upto_April23_My-Version_Final.xlsx]Q2_Solution!PivotTable5</c:name>
    <c:fmtId val="14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Q2_Solution!$B$4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Q2_Solution!$A$5:$A$12</c:f>
              <c:strCache>
                <c:ptCount val="7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</c:strCache>
            </c:strRef>
          </c:cat>
          <c:val>
            <c:numRef>
              <c:f>Q2_Solution!$B$5:$B$12</c:f>
              <c:numCache>
                <c:formatCode>General</c:formatCode>
                <c:ptCount val="7"/>
                <c:pt idx="0">
                  <c:v>41620.800000000003</c:v>
                </c:pt>
                <c:pt idx="1">
                  <c:v>43000.499999999993</c:v>
                </c:pt>
                <c:pt idx="2">
                  <c:v>40846.6</c:v>
                </c:pt>
                <c:pt idx="3">
                  <c:v>41698.499999999993</c:v>
                </c:pt>
                <c:pt idx="4">
                  <c:v>50548.700000000004</c:v>
                </c:pt>
                <c:pt idx="5">
                  <c:v>53773.500000000015</c:v>
                </c:pt>
                <c:pt idx="6">
                  <c:v>23103.4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7754256"/>
        <c:axId val="1397737936"/>
      </c:lineChart>
      <c:catAx>
        <c:axId val="139775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37936"/>
        <c:crosses val="autoZero"/>
        <c:auto val="1"/>
        <c:lblAlgn val="ctr"/>
        <c:lblOffset val="100"/>
        <c:noMultiLvlLbl val="0"/>
      </c:catAx>
      <c:valAx>
        <c:axId val="1397737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5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[All_India_Index_Upto_April23_My-Version_Final.xlsx]Q3_Solution!PivotTable14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Q3_Solution!$R$1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Q3_Solution!$Q$2:$Q$14</c:f>
              <c:strCache>
                <c:ptCount val="12"/>
                <c:pt idx="0">
                  <c:v>April-2023</c:v>
                </c:pt>
                <c:pt idx="1">
                  <c:v>August-2022</c:v>
                </c:pt>
                <c:pt idx="2">
                  <c:v>December-2022</c:v>
                </c:pt>
                <c:pt idx="3">
                  <c:v>February-2023</c:v>
                </c:pt>
                <c:pt idx="4">
                  <c:v>January-2023</c:v>
                </c:pt>
                <c:pt idx="5">
                  <c:v>July-2022</c:v>
                </c:pt>
                <c:pt idx="6">
                  <c:v>June-2022</c:v>
                </c:pt>
                <c:pt idx="7">
                  <c:v>March-2023</c:v>
                </c:pt>
                <c:pt idx="8">
                  <c:v>May-2023</c:v>
                </c:pt>
                <c:pt idx="9">
                  <c:v>November-2022</c:v>
                </c:pt>
                <c:pt idx="10">
                  <c:v>October-2022</c:v>
                </c:pt>
                <c:pt idx="11">
                  <c:v>September-2022</c:v>
                </c:pt>
              </c:strCache>
            </c:strRef>
          </c:cat>
          <c:val>
            <c:numRef>
              <c:f>Q3_Solution!$R$2:$R$14</c:f>
              <c:numCache>
                <c:formatCode>0.0</c:formatCode>
                <c:ptCount val="12"/>
                <c:pt idx="0">
                  <c:v>6881.5</c:v>
                </c:pt>
                <c:pt idx="1">
                  <c:v>6818.7000000000007</c:v>
                </c:pt>
                <c:pt idx="2">
                  <c:v>6856.2999999999993</c:v>
                </c:pt>
                <c:pt idx="3">
                  <c:v>6848</c:v>
                </c:pt>
                <c:pt idx="4">
                  <c:v>6886.1</c:v>
                </c:pt>
                <c:pt idx="5">
                  <c:v>6810.4000000000005</c:v>
                </c:pt>
                <c:pt idx="6">
                  <c:v>6797.7000000000007</c:v>
                </c:pt>
                <c:pt idx="7">
                  <c:v>6848.4000000000005</c:v>
                </c:pt>
                <c:pt idx="8">
                  <c:v>6932.7000000000007</c:v>
                </c:pt>
                <c:pt idx="9">
                  <c:v>6898.9000000000005</c:v>
                </c:pt>
                <c:pt idx="10">
                  <c:v>6904.1</c:v>
                </c:pt>
                <c:pt idx="11">
                  <c:v>6855.1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397756432"/>
        <c:axId val="1397760784"/>
      </c:barChart>
      <c:catAx>
        <c:axId val="1397756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60784"/>
        <c:crosses val="autoZero"/>
        <c:auto val="1"/>
        <c:lblAlgn val="ctr"/>
        <c:lblOffset val="100"/>
        <c:noMultiLvlLbl val="0"/>
      </c:catAx>
      <c:valAx>
        <c:axId val="1397760784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56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Q3_Solution!$R$34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Q3_Solution!$Q$35:$Q$47</c:f>
              <c:strCache>
                <c:ptCount val="13"/>
                <c:pt idx="0">
                  <c:v>Cereals and products</c:v>
                </c:pt>
                <c:pt idx="1">
                  <c:v>Egg</c:v>
                </c:pt>
                <c:pt idx="2">
                  <c:v>Food and beverages</c:v>
                </c:pt>
                <c:pt idx="3">
                  <c:v>Fruits</c:v>
                </c:pt>
                <c:pt idx="4">
                  <c:v>Meat and fish</c:v>
                </c:pt>
                <c:pt idx="5">
                  <c:v>Milk and products</c:v>
                </c:pt>
                <c:pt idx="6">
                  <c:v>Non-alcoholic beverages</c:v>
                </c:pt>
                <c:pt idx="7">
                  <c:v>Oils and fats</c:v>
                </c:pt>
                <c:pt idx="8">
                  <c:v>Prepared meals, snacks, sweets etc.</c:v>
                </c:pt>
                <c:pt idx="9">
                  <c:v>Pulses and products</c:v>
                </c:pt>
                <c:pt idx="10">
                  <c:v>Spices</c:v>
                </c:pt>
                <c:pt idx="11">
                  <c:v>Sugar and Confectionery</c:v>
                </c:pt>
                <c:pt idx="12">
                  <c:v>Vegetables</c:v>
                </c:pt>
              </c:strCache>
            </c:strRef>
          </c:cat>
          <c:val>
            <c:numRef>
              <c:f>Q3_Solution!$R$35:$R$47</c:f>
              <c:numCache>
                <c:formatCode>General</c:formatCode>
                <c:ptCount val="13"/>
                <c:pt idx="0">
                  <c:v>6028.9999999999991</c:v>
                </c:pt>
                <c:pt idx="1">
                  <c:v>6353.8999999999978</c:v>
                </c:pt>
                <c:pt idx="2">
                  <c:v>6395.4000000000024</c:v>
                </c:pt>
                <c:pt idx="3">
                  <c:v>6036.5999999999995</c:v>
                </c:pt>
                <c:pt idx="4">
                  <c:v>7604.8999999999978</c:v>
                </c:pt>
                <c:pt idx="5">
                  <c:v>6224.3</c:v>
                </c:pt>
                <c:pt idx="6">
                  <c:v>6116.9</c:v>
                </c:pt>
                <c:pt idx="7">
                  <c:v>6652.8999999999978</c:v>
                </c:pt>
                <c:pt idx="8">
                  <c:v>6832.4000000000005</c:v>
                </c:pt>
                <c:pt idx="9">
                  <c:v>6116.2999999999993</c:v>
                </c:pt>
                <c:pt idx="10">
                  <c:v>7277.5000000000009</c:v>
                </c:pt>
                <c:pt idx="11">
                  <c:v>4369.0999999999995</c:v>
                </c:pt>
                <c:pt idx="12">
                  <c:v>6328.699999999998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7762416"/>
        <c:axId val="1397765136"/>
      </c:barChart>
      <c:catAx>
        <c:axId val="139776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65136"/>
        <c:crosses val="autoZero"/>
        <c:auto val="1"/>
        <c:lblAlgn val="ctr"/>
        <c:lblOffset val="100"/>
        <c:noMultiLvlLbl val="0"/>
      </c:catAx>
      <c:valAx>
        <c:axId val="1397765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6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Q4_Solution!$L$5</c:f>
              <c:strCache>
                <c:ptCount val="1"/>
                <c:pt idx="0">
                  <c:v>Pre_Covid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Q4_Solution!$N$4:$R$4</c:f>
              <c:strCache>
                <c:ptCount val="5"/>
                <c:pt idx="0">
                  <c:v>Clothing and footwear</c:v>
                </c:pt>
                <c:pt idx="1">
                  <c:v>Housing</c:v>
                </c:pt>
                <c:pt idx="2">
                  <c:v>Health</c:v>
                </c:pt>
                <c:pt idx="3">
                  <c:v>Fuel and light</c:v>
                </c:pt>
                <c:pt idx="4">
                  <c:v>Transport and communication</c:v>
                </c:pt>
              </c:strCache>
            </c:strRef>
          </c:cat>
          <c:val>
            <c:numRef>
              <c:f>Q4_Solution!$N$5:$R$5</c:f>
              <c:numCache>
                <c:formatCode>General</c:formatCode>
                <c:ptCount val="5"/>
                <c:pt idx="0">
                  <c:v>14429.400000000001</c:v>
                </c:pt>
                <c:pt idx="1">
                  <c:v>9810.0000000000018</c:v>
                </c:pt>
                <c:pt idx="2">
                  <c:v>9501.1999999999971</c:v>
                </c:pt>
                <c:pt idx="3">
                  <c:v>4651.8</c:v>
                </c:pt>
                <c:pt idx="4">
                  <c:v>4214.7000000000007</c:v>
                </c:pt>
              </c:numCache>
            </c:numRef>
          </c:val>
        </c:ser>
        <c:ser>
          <c:idx val="1"/>
          <c:order val="1"/>
          <c:tx>
            <c:strRef>
              <c:f>Q4_Solution!$L$6</c:f>
              <c:strCache>
                <c:ptCount val="1"/>
                <c:pt idx="0">
                  <c:v>During_Covid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Q4_Solution!$N$4:$R$4</c:f>
              <c:strCache>
                <c:ptCount val="5"/>
                <c:pt idx="0">
                  <c:v>Clothing and footwear</c:v>
                </c:pt>
                <c:pt idx="1">
                  <c:v>Housing</c:v>
                </c:pt>
                <c:pt idx="2">
                  <c:v>Health</c:v>
                </c:pt>
                <c:pt idx="3">
                  <c:v>Fuel and light</c:v>
                </c:pt>
                <c:pt idx="4">
                  <c:v>Transport and communication</c:v>
                </c:pt>
              </c:strCache>
            </c:strRef>
          </c:cat>
          <c:val>
            <c:numRef>
              <c:f>Q4_Solution!$N$6:$R$6</c:f>
              <c:numCache>
                <c:formatCode>General</c:formatCode>
                <c:ptCount val="5"/>
                <c:pt idx="0">
                  <c:v>13538.999999999998</c:v>
                </c:pt>
                <c:pt idx="1">
                  <c:v>9645.3000000000011</c:v>
                </c:pt>
                <c:pt idx="2">
                  <c:v>9811.3999999999978</c:v>
                </c:pt>
                <c:pt idx="3">
                  <c:v>4781.5000000000009</c:v>
                </c:pt>
                <c:pt idx="4">
                  <c:v>5539.1999999999989</c:v>
                </c:pt>
              </c:numCache>
            </c:numRef>
          </c:val>
        </c:ser>
        <c:ser>
          <c:idx val="2"/>
          <c:order val="2"/>
          <c:tx>
            <c:strRef>
              <c:f>Q4_Solution!$L$7</c:f>
              <c:strCache>
                <c:ptCount val="1"/>
                <c:pt idx="0">
                  <c:v>Post_Covid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Q4_Solution!$N$4:$R$4</c:f>
              <c:strCache>
                <c:ptCount val="5"/>
                <c:pt idx="0">
                  <c:v>Clothing and footwear</c:v>
                </c:pt>
                <c:pt idx="1">
                  <c:v>Housing</c:v>
                </c:pt>
                <c:pt idx="2">
                  <c:v>Health</c:v>
                </c:pt>
                <c:pt idx="3">
                  <c:v>Fuel and light</c:v>
                </c:pt>
                <c:pt idx="4">
                  <c:v>Transport and communication</c:v>
                </c:pt>
              </c:strCache>
            </c:strRef>
          </c:cat>
          <c:val>
            <c:numRef>
              <c:f>Q4_Solution!$N$7:$R$7</c:f>
              <c:numCache>
                <c:formatCode>General</c:formatCode>
                <c:ptCount val="5"/>
                <c:pt idx="0">
                  <c:v>17426.299999999996</c:v>
                </c:pt>
                <c:pt idx="1">
                  <c:v>11547.7</c:v>
                </c:pt>
                <c:pt idx="2">
                  <c:v>11845.799999999997</c:v>
                </c:pt>
                <c:pt idx="3">
                  <c:v>5837.8999999999987</c:v>
                </c:pt>
                <c:pt idx="4">
                  <c:v>4208.8999999999987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7755344"/>
        <c:axId val="1397761328"/>
      </c:barChart>
      <c:catAx>
        <c:axId val="1397755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61328"/>
        <c:crosses val="autoZero"/>
        <c:auto val="1"/>
        <c:lblAlgn val="ctr"/>
        <c:lblOffset val="100"/>
        <c:noMultiLvlLbl val="0"/>
      </c:catAx>
      <c:valAx>
        <c:axId val="1397761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5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Q4_Solution!$M$4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Q4_Solution!$L$5:$L$7</c:f>
              <c:strCache>
                <c:ptCount val="3"/>
                <c:pt idx="0">
                  <c:v>Pre_Covid</c:v>
                </c:pt>
                <c:pt idx="1">
                  <c:v>During_Covid</c:v>
                </c:pt>
                <c:pt idx="2">
                  <c:v>Post_Covid</c:v>
                </c:pt>
              </c:strCache>
            </c:strRef>
          </c:cat>
          <c:val>
            <c:numRef>
              <c:f>Q4_Solution!$M$5:$M$7</c:f>
              <c:numCache>
                <c:formatCode>General</c:formatCode>
                <c:ptCount val="3"/>
                <c:pt idx="0">
                  <c:v>61989.599999999991</c:v>
                </c:pt>
                <c:pt idx="1">
                  <c:v>66027.299999999988</c:v>
                </c:pt>
                <c:pt idx="2">
                  <c:v>77501.10000000002</c:v>
                </c:pt>
              </c:numCache>
            </c:numRef>
          </c:val>
        </c:ser>
        <c:ser>
          <c:idx val="1"/>
          <c:order val="1"/>
          <c:tx>
            <c:strRef>
              <c:f>Q4_Solution!$N$4</c:f>
              <c:strCache>
                <c:ptCount val="1"/>
                <c:pt idx="0">
                  <c:v>Clothing and footwear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Q4_Solution!$L$5:$L$7</c:f>
              <c:strCache>
                <c:ptCount val="3"/>
                <c:pt idx="0">
                  <c:v>Pre_Covid</c:v>
                </c:pt>
                <c:pt idx="1">
                  <c:v>During_Covid</c:v>
                </c:pt>
                <c:pt idx="2">
                  <c:v>Post_Covid</c:v>
                </c:pt>
              </c:strCache>
            </c:strRef>
          </c:cat>
          <c:val>
            <c:numRef>
              <c:f>Q4_Solution!$N$5:$N$7</c:f>
              <c:numCache>
                <c:formatCode>General</c:formatCode>
                <c:ptCount val="3"/>
                <c:pt idx="0">
                  <c:v>14429.400000000001</c:v>
                </c:pt>
                <c:pt idx="1">
                  <c:v>13538.999999999998</c:v>
                </c:pt>
                <c:pt idx="2">
                  <c:v>17426.299999999996</c:v>
                </c:pt>
              </c:numCache>
            </c:numRef>
          </c:val>
        </c:ser>
        <c:ser>
          <c:idx val="2"/>
          <c:order val="2"/>
          <c:tx>
            <c:strRef>
              <c:f>Q4_Solution!$O$4</c:f>
              <c:strCache>
                <c:ptCount val="1"/>
                <c:pt idx="0">
                  <c:v>Housing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Q4_Solution!$L$5:$L$7</c:f>
              <c:strCache>
                <c:ptCount val="3"/>
                <c:pt idx="0">
                  <c:v>Pre_Covid</c:v>
                </c:pt>
                <c:pt idx="1">
                  <c:v>During_Covid</c:v>
                </c:pt>
                <c:pt idx="2">
                  <c:v>Post_Covid</c:v>
                </c:pt>
              </c:strCache>
            </c:strRef>
          </c:cat>
          <c:val>
            <c:numRef>
              <c:f>Q4_Solution!$O$5:$O$7</c:f>
              <c:numCache>
                <c:formatCode>General</c:formatCode>
                <c:ptCount val="3"/>
                <c:pt idx="0">
                  <c:v>9810.0000000000018</c:v>
                </c:pt>
                <c:pt idx="1">
                  <c:v>9645.3000000000011</c:v>
                </c:pt>
                <c:pt idx="2">
                  <c:v>11547.7</c:v>
                </c:pt>
              </c:numCache>
            </c:numRef>
          </c:val>
        </c:ser>
        <c:ser>
          <c:idx val="3"/>
          <c:order val="3"/>
          <c:tx>
            <c:strRef>
              <c:f>Q4_Solution!$P$4</c:f>
              <c:strCache>
                <c:ptCount val="1"/>
                <c:pt idx="0">
                  <c:v>Health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Q4_Solution!$L$5:$L$7</c:f>
              <c:strCache>
                <c:ptCount val="3"/>
                <c:pt idx="0">
                  <c:v>Pre_Covid</c:v>
                </c:pt>
                <c:pt idx="1">
                  <c:v>During_Covid</c:v>
                </c:pt>
                <c:pt idx="2">
                  <c:v>Post_Covid</c:v>
                </c:pt>
              </c:strCache>
            </c:strRef>
          </c:cat>
          <c:val>
            <c:numRef>
              <c:f>Q4_Solution!$P$5:$P$7</c:f>
              <c:numCache>
                <c:formatCode>General</c:formatCode>
                <c:ptCount val="3"/>
                <c:pt idx="0">
                  <c:v>9501.1999999999971</c:v>
                </c:pt>
                <c:pt idx="1">
                  <c:v>9811.3999999999978</c:v>
                </c:pt>
                <c:pt idx="2">
                  <c:v>11845.799999999997</c:v>
                </c:pt>
              </c:numCache>
            </c:numRef>
          </c:val>
        </c:ser>
        <c:ser>
          <c:idx val="4"/>
          <c:order val="4"/>
          <c:tx>
            <c:strRef>
              <c:f>Q4_Solution!$R$4</c:f>
              <c:strCache>
                <c:ptCount val="1"/>
                <c:pt idx="0">
                  <c:v>Transport and communication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Q4_Solution!$L$5:$L$7</c:f>
              <c:strCache>
                <c:ptCount val="3"/>
                <c:pt idx="0">
                  <c:v>Pre_Covid</c:v>
                </c:pt>
                <c:pt idx="1">
                  <c:v>During_Covid</c:v>
                </c:pt>
                <c:pt idx="2">
                  <c:v>Post_Covid</c:v>
                </c:pt>
              </c:strCache>
            </c:strRef>
          </c:cat>
          <c:val>
            <c:numRef>
              <c:f>Q4_Solution!$R$5:$R$7</c:f>
              <c:numCache>
                <c:formatCode>General</c:formatCode>
                <c:ptCount val="3"/>
                <c:pt idx="0">
                  <c:v>4214.7000000000007</c:v>
                </c:pt>
                <c:pt idx="1">
                  <c:v>5539.1999999999989</c:v>
                </c:pt>
                <c:pt idx="2">
                  <c:v>4208.8999999999987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7760240"/>
        <c:axId val="1397766224"/>
      </c:barChart>
      <c:catAx>
        <c:axId val="139776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66224"/>
        <c:crosses val="autoZero"/>
        <c:auto val="1"/>
        <c:lblAlgn val="ctr"/>
        <c:lblOffset val="100"/>
        <c:noMultiLvlLbl val="0"/>
      </c:catAx>
      <c:valAx>
        <c:axId val="1397766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6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Q4_Solution!$L$5</c:f>
              <c:strCache>
                <c:ptCount val="1"/>
                <c:pt idx="0">
                  <c:v>Pre_Covid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Q4_Solution!$M$4:$R$4</c:f>
              <c:strCache>
                <c:ptCount val="6"/>
                <c:pt idx="0">
                  <c:v>Food</c:v>
                </c:pt>
                <c:pt idx="1">
                  <c:v>Clothing and footwear</c:v>
                </c:pt>
                <c:pt idx="2">
                  <c:v>Housing</c:v>
                </c:pt>
                <c:pt idx="3">
                  <c:v>Health</c:v>
                </c:pt>
                <c:pt idx="4">
                  <c:v>Fuel and light</c:v>
                </c:pt>
                <c:pt idx="5">
                  <c:v>Transport and communication</c:v>
                </c:pt>
              </c:strCache>
            </c:strRef>
          </c:cat>
          <c:val>
            <c:numRef>
              <c:f>Q4_Solution!$M$5:$R$5</c:f>
              <c:numCache>
                <c:formatCode>General</c:formatCode>
                <c:ptCount val="6"/>
                <c:pt idx="0">
                  <c:v>61989.599999999991</c:v>
                </c:pt>
                <c:pt idx="1">
                  <c:v>14429.400000000001</c:v>
                </c:pt>
                <c:pt idx="2">
                  <c:v>9810.0000000000018</c:v>
                </c:pt>
                <c:pt idx="3">
                  <c:v>9501.1999999999971</c:v>
                </c:pt>
                <c:pt idx="4">
                  <c:v>4651.8</c:v>
                </c:pt>
                <c:pt idx="5">
                  <c:v>4214.7000000000007</c:v>
                </c:pt>
              </c:numCache>
            </c:numRef>
          </c:val>
        </c:ser>
        <c:ser>
          <c:idx val="1"/>
          <c:order val="1"/>
          <c:tx>
            <c:strRef>
              <c:f>Q4_Solution!$L$6</c:f>
              <c:strCache>
                <c:ptCount val="1"/>
                <c:pt idx="0">
                  <c:v>During_Covid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Q4_Solution!$M$4:$R$4</c:f>
              <c:strCache>
                <c:ptCount val="6"/>
                <c:pt idx="0">
                  <c:v>Food</c:v>
                </c:pt>
                <c:pt idx="1">
                  <c:v>Clothing and footwear</c:v>
                </c:pt>
                <c:pt idx="2">
                  <c:v>Housing</c:v>
                </c:pt>
                <c:pt idx="3">
                  <c:v>Health</c:v>
                </c:pt>
                <c:pt idx="4">
                  <c:v>Fuel and light</c:v>
                </c:pt>
                <c:pt idx="5">
                  <c:v>Transport and communication</c:v>
                </c:pt>
              </c:strCache>
            </c:strRef>
          </c:cat>
          <c:val>
            <c:numRef>
              <c:f>Q4_Solution!$M$6:$R$6</c:f>
              <c:numCache>
                <c:formatCode>General</c:formatCode>
                <c:ptCount val="6"/>
                <c:pt idx="0">
                  <c:v>66027.299999999988</c:v>
                </c:pt>
                <c:pt idx="1">
                  <c:v>13538.999999999998</c:v>
                </c:pt>
                <c:pt idx="2">
                  <c:v>9645.3000000000011</c:v>
                </c:pt>
                <c:pt idx="3">
                  <c:v>9811.3999999999978</c:v>
                </c:pt>
                <c:pt idx="4">
                  <c:v>4781.5000000000009</c:v>
                </c:pt>
                <c:pt idx="5">
                  <c:v>5539.1999999999989</c:v>
                </c:pt>
              </c:numCache>
            </c:numRef>
          </c:val>
        </c:ser>
        <c:ser>
          <c:idx val="2"/>
          <c:order val="2"/>
          <c:tx>
            <c:strRef>
              <c:f>Q4_Solution!$L$7</c:f>
              <c:strCache>
                <c:ptCount val="1"/>
                <c:pt idx="0">
                  <c:v>Post_Covid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Q4_Solution!$M$4:$R$4</c:f>
              <c:strCache>
                <c:ptCount val="6"/>
                <c:pt idx="0">
                  <c:v>Food</c:v>
                </c:pt>
                <c:pt idx="1">
                  <c:v>Clothing and footwear</c:v>
                </c:pt>
                <c:pt idx="2">
                  <c:v>Housing</c:v>
                </c:pt>
                <c:pt idx="3">
                  <c:v>Health</c:v>
                </c:pt>
                <c:pt idx="4">
                  <c:v>Fuel and light</c:v>
                </c:pt>
                <c:pt idx="5">
                  <c:v>Transport and communication</c:v>
                </c:pt>
              </c:strCache>
            </c:strRef>
          </c:cat>
          <c:val>
            <c:numRef>
              <c:f>Q4_Solution!$M$7:$R$7</c:f>
              <c:numCache>
                <c:formatCode>General</c:formatCode>
                <c:ptCount val="6"/>
                <c:pt idx="0">
                  <c:v>77501.10000000002</c:v>
                </c:pt>
                <c:pt idx="1">
                  <c:v>17426.299999999996</c:v>
                </c:pt>
                <c:pt idx="2">
                  <c:v>11547.7</c:v>
                </c:pt>
                <c:pt idx="3">
                  <c:v>11845.799999999997</c:v>
                </c:pt>
                <c:pt idx="4">
                  <c:v>5837.8999999999987</c:v>
                </c:pt>
                <c:pt idx="5">
                  <c:v>4208.8999999999987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7759696"/>
        <c:axId val="1397757520"/>
      </c:barChart>
      <c:catAx>
        <c:axId val="139775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57520"/>
        <c:crosses val="autoZero"/>
        <c:auto val="1"/>
        <c:lblAlgn val="ctr"/>
        <c:lblOffset val="100"/>
        <c:noMultiLvlLbl val="0"/>
      </c:catAx>
      <c:valAx>
        <c:axId val="1397757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5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Q4_Solution!$M$4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Q4_Solution!$L$5:$L$7</c:f>
              <c:strCache>
                <c:ptCount val="3"/>
                <c:pt idx="0">
                  <c:v>Pre_Covid</c:v>
                </c:pt>
                <c:pt idx="1">
                  <c:v>During_Covid</c:v>
                </c:pt>
                <c:pt idx="2">
                  <c:v>Post_Covid</c:v>
                </c:pt>
              </c:strCache>
            </c:strRef>
          </c:cat>
          <c:val>
            <c:numRef>
              <c:f>Q4_Solution!$M$5:$M$7</c:f>
              <c:numCache>
                <c:formatCode>General</c:formatCode>
                <c:ptCount val="3"/>
                <c:pt idx="0">
                  <c:v>61989.599999999991</c:v>
                </c:pt>
                <c:pt idx="1">
                  <c:v>66027.299999999988</c:v>
                </c:pt>
                <c:pt idx="2">
                  <c:v>77501.10000000002</c:v>
                </c:pt>
              </c:numCache>
            </c:numRef>
          </c:val>
        </c:ser>
        <c:ser>
          <c:idx val="1"/>
          <c:order val="1"/>
          <c:tx>
            <c:strRef>
              <c:f>Q4_Solution!$N$4</c:f>
              <c:strCache>
                <c:ptCount val="1"/>
                <c:pt idx="0">
                  <c:v>Clothing and footwear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Q4_Solution!$L$5:$L$7</c:f>
              <c:strCache>
                <c:ptCount val="3"/>
                <c:pt idx="0">
                  <c:v>Pre_Covid</c:v>
                </c:pt>
                <c:pt idx="1">
                  <c:v>During_Covid</c:v>
                </c:pt>
                <c:pt idx="2">
                  <c:v>Post_Covid</c:v>
                </c:pt>
              </c:strCache>
            </c:strRef>
          </c:cat>
          <c:val>
            <c:numRef>
              <c:f>Q4_Solution!$N$5:$N$7</c:f>
              <c:numCache>
                <c:formatCode>General</c:formatCode>
                <c:ptCount val="3"/>
                <c:pt idx="0">
                  <c:v>14429.400000000001</c:v>
                </c:pt>
                <c:pt idx="1">
                  <c:v>13538.999999999998</c:v>
                </c:pt>
                <c:pt idx="2">
                  <c:v>17426.299999999996</c:v>
                </c:pt>
              </c:numCache>
            </c:numRef>
          </c:val>
        </c:ser>
        <c:ser>
          <c:idx val="2"/>
          <c:order val="2"/>
          <c:tx>
            <c:strRef>
              <c:f>Q4_Solution!$O$4</c:f>
              <c:strCache>
                <c:ptCount val="1"/>
                <c:pt idx="0">
                  <c:v>Housing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Q4_Solution!$L$5:$L$7</c:f>
              <c:strCache>
                <c:ptCount val="3"/>
                <c:pt idx="0">
                  <c:v>Pre_Covid</c:v>
                </c:pt>
                <c:pt idx="1">
                  <c:v>During_Covid</c:v>
                </c:pt>
                <c:pt idx="2">
                  <c:v>Post_Covid</c:v>
                </c:pt>
              </c:strCache>
            </c:strRef>
          </c:cat>
          <c:val>
            <c:numRef>
              <c:f>Q4_Solution!$O$5:$O$7</c:f>
              <c:numCache>
                <c:formatCode>General</c:formatCode>
                <c:ptCount val="3"/>
                <c:pt idx="0">
                  <c:v>9810.0000000000018</c:v>
                </c:pt>
                <c:pt idx="1">
                  <c:v>9645.3000000000011</c:v>
                </c:pt>
                <c:pt idx="2">
                  <c:v>11547.7</c:v>
                </c:pt>
              </c:numCache>
            </c:numRef>
          </c:val>
        </c:ser>
        <c:ser>
          <c:idx val="3"/>
          <c:order val="3"/>
          <c:tx>
            <c:strRef>
              <c:f>Q4_Solution!$P$4</c:f>
              <c:strCache>
                <c:ptCount val="1"/>
                <c:pt idx="0">
                  <c:v>Health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Q4_Solution!$L$5:$L$7</c:f>
              <c:strCache>
                <c:ptCount val="3"/>
                <c:pt idx="0">
                  <c:v>Pre_Covid</c:v>
                </c:pt>
                <c:pt idx="1">
                  <c:v>During_Covid</c:v>
                </c:pt>
                <c:pt idx="2">
                  <c:v>Post_Covid</c:v>
                </c:pt>
              </c:strCache>
            </c:strRef>
          </c:cat>
          <c:val>
            <c:numRef>
              <c:f>Q4_Solution!$P$5:$P$7</c:f>
              <c:numCache>
                <c:formatCode>General</c:formatCode>
                <c:ptCount val="3"/>
                <c:pt idx="0">
                  <c:v>9501.1999999999971</c:v>
                </c:pt>
                <c:pt idx="1">
                  <c:v>9811.3999999999978</c:v>
                </c:pt>
                <c:pt idx="2">
                  <c:v>11845.799999999997</c:v>
                </c:pt>
              </c:numCache>
            </c:numRef>
          </c:val>
        </c:ser>
        <c:ser>
          <c:idx val="4"/>
          <c:order val="4"/>
          <c:tx>
            <c:strRef>
              <c:f>Q4_Solution!$R$4</c:f>
              <c:strCache>
                <c:ptCount val="1"/>
                <c:pt idx="0">
                  <c:v>Transport and communication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Q4_Solution!$L$5:$L$7</c:f>
              <c:strCache>
                <c:ptCount val="3"/>
                <c:pt idx="0">
                  <c:v>Pre_Covid</c:v>
                </c:pt>
                <c:pt idx="1">
                  <c:v>During_Covid</c:v>
                </c:pt>
                <c:pt idx="2">
                  <c:v>Post_Covid</c:v>
                </c:pt>
              </c:strCache>
            </c:strRef>
          </c:cat>
          <c:val>
            <c:numRef>
              <c:f>Q4_Solution!$R$5:$R$7</c:f>
              <c:numCache>
                <c:formatCode>General</c:formatCode>
                <c:ptCount val="3"/>
                <c:pt idx="0">
                  <c:v>4214.7000000000007</c:v>
                </c:pt>
                <c:pt idx="1">
                  <c:v>5539.1999999999989</c:v>
                </c:pt>
                <c:pt idx="2">
                  <c:v>4208.8999999999987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7763504"/>
        <c:axId val="1397766768"/>
      </c:barChart>
      <c:catAx>
        <c:axId val="139776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66768"/>
        <c:crosses val="autoZero"/>
        <c:auto val="1"/>
        <c:lblAlgn val="ctr"/>
        <c:lblOffset val="100"/>
        <c:noMultiLvlLbl val="0"/>
      </c:catAx>
      <c:valAx>
        <c:axId val="1397766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776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Q4_Solution!$T$4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Q4_Solution!$L$5:$L$7</c:f>
              <c:strCache>
                <c:ptCount val="3"/>
                <c:pt idx="0">
                  <c:v>Pre_Covid</c:v>
                </c:pt>
                <c:pt idx="1">
                  <c:v>During_Covid</c:v>
                </c:pt>
                <c:pt idx="2">
                  <c:v>Post_Covid</c:v>
                </c:pt>
              </c:strCache>
            </c:strRef>
          </c:cat>
          <c:val>
            <c:numRef>
              <c:f>Q4_Solution!$T$5:$T$7</c:f>
              <c:numCache>
                <c:formatCode>0.00%</c:formatCode>
                <c:ptCount val="3"/>
                <c:pt idx="0">
                  <c:v>0.30556302932942575</c:v>
                </c:pt>
                <c:pt idx="1">
                  <c:v>0.31943065326236797</c:v>
                </c:pt>
                <c:pt idx="2">
                  <c:v>0.37500631740820628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206375</xdr:colOff>
      <xdr:row>12</xdr:row>
      <xdr:rowOff>3175</xdr:rowOff>
    </xdr:from>
    <xdr:to>
      <xdr:col>10</xdr:col>
      <xdr:colOff>428625</xdr:colOff>
      <xdr:row>26</xdr:row>
      <xdr:rowOff>168275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463550</xdr:colOff>
      <xdr:row>12</xdr:row>
      <xdr:rowOff>0</xdr:rowOff>
    </xdr:from>
    <xdr:to>
      <xdr:col>15</xdr:col>
      <xdr:colOff>127000</xdr:colOff>
      <xdr:row>26</xdr:row>
      <xdr:rowOff>165100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152400</xdr:colOff>
      <xdr:row>12</xdr:row>
      <xdr:rowOff>0</xdr:rowOff>
    </xdr:from>
    <xdr:to>
      <xdr:col>22</xdr:col>
      <xdr:colOff>457200</xdr:colOff>
      <xdr:row>26</xdr:row>
      <xdr:rowOff>165100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12</xdr:row>
      <xdr:rowOff>28575</xdr:rowOff>
    </xdr:from>
    <xdr:to>
      <xdr:col>7</xdr:col>
      <xdr:colOff>184150</xdr:colOff>
      <xdr:row>27</xdr:row>
      <xdr:rowOff>9525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771525</xdr:colOff>
      <xdr:row>0</xdr:row>
      <xdr:rowOff>161925</xdr:rowOff>
    </xdr:from>
    <xdr:to>
      <xdr:col>13</xdr:col>
      <xdr:colOff>79375</xdr:colOff>
      <xdr:row>15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15874</xdr:colOff>
      <xdr:row>0</xdr:row>
      <xdr:rowOff>34925</xdr:rowOff>
    </xdr:from>
    <xdr:to>
      <xdr:col>33</xdr:col>
      <xdr:colOff>152399</xdr:colOff>
      <xdr:row>15</xdr:row>
      <xdr:rowOff>15875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3174</xdr:colOff>
      <xdr:row>32</xdr:row>
      <xdr:rowOff>168274</xdr:rowOff>
    </xdr:from>
    <xdr:to>
      <xdr:col>32</xdr:col>
      <xdr:colOff>457199</xdr:colOff>
      <xdr:row>48</xdr:row>
      <xdr:rowOff>146049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13471</xdr:colOff>
      <xdr:row>9</xdr:row>
      <xdr:rowOff>164587</xdr:rowOff>
    </xdr:from>
    <xdr:to>
      <xdr:col>17</xdr:col>
      <xdr:colOff>692087</xdr:colOff>
      <xdr:row>24</xdr:row>
      <xdr:rowOff>117636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6414</xdr:colOff>
      <xdr:row>9</xdr:row>
      <xdr:rowOff>173182</xdr:rowOff>
    </xdr:from>
    <xdr:to>
      <xdr:col>25</xdr:col>
      <xdr:colOff>313011</xdr:colOff>
      <xdr:row>24</xdr:row>
      <xdr:rowOff>126231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494531</xdr:colOff>
      <xdr:row>25</xdr:row>
      <xdr:rowOff>158173</xdr:rowOff>
    </xdr:from>
    <xdr:to>
      <xdr:col>17</xdr:col>
      <xdr:colOff>563803</xdr:colOff>
      <xdr:row>40</xdr:row>
      <xdr:rowOff>111222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814596</xdr:colOff>
      <xdr:row>25</xdr:row>
      <xdr:rowOff>166767</xdr:rowOff>
    </xdr:from>
    <xdr:to>
      <xdr:col>25</xdr:col>
      <xdr:colOff>203970</xdr:colOff>
      <xdr:row>40</xdr:row>
      <xdr:rowOff>119816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121868</xdr:colOff>
      <xdr:row>0</xdr:row>
      <xdr:rowOff>0</xdr:rowOff>
    </xdr:from>
    <xdr:to>
      <xdr:col>23</xdr:col>
      <xdr:colOff>686312</xdr:colOff>
      <xdr:row>8</xdr:row>
      <xdr:rowOff>160353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89</xdr:row>
      <xdr:rowOff>0</xdr:rowOff>
    </xdr:from>
    <xdr:to>
      <xdr:col>5</xdr:col>
      <xdr:colOff>304800</xdr:colOff>
      <xdr:row>90</xdr:row>
      <xdr:rowOff>120650</xdr:rowOff>
    </xdr:to>
    <xdr:sp macro="" textlink="">
      <xdr:nvSpPr>
        <xdr:cNvPr id="10241" name="AutoShape 1" descr="blob:https://web.whatsapp.com/42bd6ac3-7e13-484e-88ec-43e42a41cd00"/>
        <xdr:cNvSpPr>
          <a:spLocks noChangeAspect="1" noChangeArrowheads="1"/>
        </xdr:cNvSpPr>
      </xdr:nvSpPr>
      <xdr:spPr bwMode="auto">
        <a:xfrm>
          <a:off x="3886200" y="1638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93</xdr:row>
      <xdr:rowOff>0</xdr:rowOff>
    </xdr:from>
    <xdr:to>
      <xdr:col>4</xdr:col>
      <xdr:colOff>304800</xdr:colOff>
      <xdr:row>94</xdr:row>
      <xdr:rowOff>120650</xdr:rowOff>
    </xdr:to>
    <xdr:sp macro="" textlink="">
      <xdr:nvSpPr>
        <xdr:cNvPr id="10242" name="AutoShape 2" descr="blob:https://web.whatsapp.com/42bd6ac3-7e13-484e-88ec-43e42a41cd00"/>
        <xdr:cNvSpPr>
          <a:spLocks noChangeAspect="1" noChangeArrowheads="1"/>
        </xdr:cNvSpPr>
      </xdr:nvSpPr>
      <xdr:spPr bwMode="auto">
        <a:xfrm>
          <a:off x="2482850" y="1712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93</xdr:row>
      <xdr:rowOff>0</xdr:rowOff>
    </xdr:from>
    <xdr:to>
      <xdr:col>4</xdr:col>
      <xdr:colOff>304800</xdr:colOff>
      <xdr:row>94</xdr:row>
      <xdr:rowOff>120650</xdr:rowOff>
    </xdr:to>
    <xdr:sp macro="" textlink="">
      <xdr:nvSpPr>
        <xdr:cNvPr id="10243" name="AutoShape 3" descr="blob:https://web.whatsapp.com/42bd6ac3-7e13-484e-88ec-43e42a41cd00"/>
        <xdr:cNvSpPr>
          <a:spLocks noChangeAspect="1" noChangeArrowheads="1"/>
        </xdr:cNvSpPr>
      </xdr:nvSpPr>
      <xdr:spPr bwMode="auto">
        <a:xfrm>
          <a:off x="2482850" y="1712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12701</xdr:colOff>
      <xdr:row>92</xdr:row>
      <xdr:rowOff>152401</xdr:rowOff>
    </xdr:from>
    <xdr:to>
      <xdr:col>13</xdr:col>
      <xdr:colOff>539750</xdr:colOff>
      <xdr:row>101</xdr:row>
      <xdr:rowOff>21446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01" t="19819" r="2722" b="18881"/>
        <a:stretch/>
      </xdr:blipFill>
      <xdr:spPr>
        <a:xfrm>
          <a:off x="6083301" y="17094201"/>
          <a:ext cx="4686299" cy="152639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hushan Yadav" refreshedDate="45904.998836689818" createdVersion="5" refreshedVersion="5" minRefreshableVersion="3" recordCount="369">
  <cacheSource type="worksheet">
    <worksheetSource ref="A1:Q370" sheet="CPI_Updated"/>
  </cacheSource>
  <cacheFields count="17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/>
    </cacheField>
    <cacheField name="MMYY" numFmtId="0">
      <sharedItems/>
    </cacheField>
    <cacheField name="Covid Status" numFmtId="0">
      <sharedItems/>
    </cacheField>
    <cacheField name="Food" numFmtId="0">
      <sharedItems containsSemiMixedTypes="0" containsString="0" containsNumber="1" minValue="1371.6999999999998" maxValue="2335.1"/>
    </cacheField>
    <cacheField name="Clothing and footwear" numFmtId="0">
      <sharedItems containsSemiMixedTypes="0" containsString="0" containsNumber="1" minValue="0" maxValue="569.90000000000009"/>
    </cacheField>
    <cacheField name="Housing" numFmtId="0">
      <sharedItems containsSemiMixedTypes="0" containsString="0" containsNumber="1" minValue="155.6" maxValue="355.4"/>
    </cacheField>
    <cacheField name="Health" numFmtId="0">
      <sharedItems containsSemiMixedTypes="0" containsString="0" containsNumber="1" minValue="144.80000000000001" maxValue="372.70000000000005"/>
    </cacheField>
    <cacheField name="Fuel and light" numFmtId="0">
      <sharedItems containsSemiMixedTypes="0" containsString="0" containsNumber="1" minValue="105.4" maxValue="183.4"/>
    </cacheField>
    <cacheField name="Transport and communication" numFmtId="0">
      <sharedItems containsMixedTypes="1" containsNumber="1" minValue="103.2" maxValue="169.7"/>
    </cacheField>
    <cacheField name="Recreation and amusement" numFmtId="0">
      <sharedItems containsMixedTypes="1" containsNumber="1" minValue="102.9" maxValue="173.8"/>
    </cacheField>
    <cacheField name="Education" numFmtId="0">
      <sharedItems containsMixedTypes="1" containsNumber="1" minValue="103.5" maxValue="180.3"/>
    </cacheField>
    <cacheField name="Pan, tobacco and intoxicants" numFmtId="0">
      <sharedItems containsMixedTypes="1" containsNumber="1" minValue="105.1" maxValue="204.2"/>
    </cacheField>
    <cacheField name="Miscellaneous" numFmtId="0">
      <sharedItems containsMixedTypes="1" containsNumber="1" minValue="103.7" maxValue="179.5"/>
    </cacheField>
    <cacheField name="General index" numFmtId="0">
      <sharedItems containsMixedTypes="1" containsNumber="1" minValue="104" maxValue="179.8"/>
    </cacheField>
    <cacheField name="Overall Total" numFmtId="0">
      <sharedItems containsSemiMixedTypes="0" containsString="0" containsNumber="1" minValue="2073.1" maxValue="4674.4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Bhushan Yadav" refreshedDate="45904.998836805556" createdVersion="5" refreshedVersion="5" minRefreshableVersion="3" recordCount="369">
  <cacheSource type="worksheet">
    <worksheetSource ref="A1:Q370" sheet="CPI_Updated"/>
  </cacheSource>
  <cacheFields count="17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/>
    </cacheField>
    <cacheField name="MMYY" numFmtId="0">
      <sharedItems/>
    </cacheField>
    <cacheField name="Covid Status" numFmtId="0">
      <sharedItems count="4">
        <s v="NA"/>
        <s v="Pre_Covid"/>
        <s v="During_Covid"/>
        <s v="Post_Covid"/>
      </sharedItems>
    </cacheField>
    <cacheField name="Food" numFmtId="0">
      <sharedItems containsSemiMixedTypes="0" containsString="0" containsNumber="1" minValue="1371.6999999999998" maxValue="2335.1"/>
    </cacheField>
    <cacheField name="Clothing and footwear" numFmtId="0">
      <sharedItems containsSemiMixedTypes="0" containsString="0" containsNumber="1" minValue="0" maxValue="569.90000000000009"/>
    </cacheField>
    <cacheField name="Housing" numFmtId="0">
      <sharedItems containsSemiMixedTypes="0" containsString="0" containsNumber="1" minValue="155.6" maxValue="355.4"/>
    </cacheField>
    <cacheField name="Health" numFmtId="0">
      <sharedItems containsSemiMixedTypes="0" containsString="0" containsNumber="1" minValue="144.80000000000001" maxValue="372.70000000000005"/>
    </cacheField>
    <cacheField name="Fuel and light" numFmtId="0">
      <sharedItems containsSemiMixedTypes="0" containsString="0" containsNumber="1" minValue="105.4" maxValue="183.4"/>
    </cacheField>
    <cacheField name="Transport and communication" numFmtId="0">
      <sharedItems containsMixedTypes="1" containsNumber="1" minValue="103.2" maxValue="169.7"/>
    </cacheField>
    <cacheField name="Recreation and amusement" numFmtId="0">
      <sharedItems containsMixedTypes="1" containsNumber="1" minValue="102.9" maxValue="173.8"/>
    </cacheField>
    <cacheField name="Education" numFmtId="0">
      <sharedItems containsMixedTypes="1" containsNumber="1" minValue="103.5" maxValue="180.3"/>
    </cacheField>
    <cacheField name="Pan, tobacco and intoxicants" numFmtId="0">
      <sharedItems containsMixedTypes="1" containsNumber="1" minValue="105.1" maxValue="204.2"/>
    </cacheField>
    <cacheField name="Miscellaneous" numFmtId="0">
      <sharedItems containsMixedTypes="1" containsNumber="1" minValue="103.7" maxValue="179.5"/>
    </cacheField>
    <cacheField name="General index" numFmtId="0">
      <sharedItems containsMixedTypes="1" containsNumber="1" minValue="104" maxValue="179.8"/>
    </cacheField>
    <cacheField name="Overall Total" numFmtId="0">
      <sharedItems containsSemiMixedTypes="0" containsString="0" containsNumber="1" minValue="2073.1" maxValue="4674.4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Bhushan Yadav" refreshedDate="45904.998837500003" createdVersion="5" refreshedVersion="5" minRefreshableVersion="3" recordCount="36">
  <cacheSource type="worksheet">
    <worksheetSource ref="A1:P37" sheet="Q3_Solution"/>
  </cacheSource>
  <cacheFields count="16">
    <cacheField name="Sector" numFmtId="0">
      <sharedItems/>
    </cacheField>
    <cacheField name="Year" numFmtId="0">
      <sharedItems containsSemiMixedTypes="0" containsString="0" containsNumber="1" containsInteger="1" minValue="2022" maxValue="2023"/>
    </cacheField>
    <cacheField name="Month" numFmtId="0">
      <sharedItems/>
    </cacheField>
    <cacheField name="MMYY" numFmtId="0">
      <sharedItems count="12">
        <s v="June-2022"/>
        <s v="July-2022"/>
        <s v="August-2022"/>
        <s v="September-2022"/>
        <s v="October-2022"/>
        <s v="November-2022"/>
        <s v="December-2022"/>
        <s v="January-2023"/>
        <s v="February-2023"/>
        <s v="March-2023"/>
        <s v="April-2023"/>
        <s v="May-2023"/>
      </sharedItems>
    </cacheField>
    <cacheField name="Food" numFmtId="0">
      <sharedItems containsSemiMixedTypes="0" containsString="0" containsNumber="1" minValue="2248.3000000000002" maxValue="2335.1"/>
    </cacheField>
    <cacheField name="Clothing and footwear" numFmtId="0">
      <sharedItems containsSemiMixedTypes="0" containsString="0" containsNumber="1" minValue="498.4" maxValue="569.90000000000009"/>
    </cacheField>
    <cacheField name="Housing" numFmtId="0">
      <sharedItems containsSemiMixedTypes="0" containsString="0" containsNumber="1" minValue="328.9" maxValue="355.4"/>
    </cacheField>
    <cacheField name="Health" numFmtId="0">
      <sharedItems containsSemiMixedTypes="0" containsString="0" containsNumber="1" minValue="340.1" maxValue="372.70000000000005"/>
    </cacheField>
    <cacheField name="Fuel and light" numFmtId="0">
      <sharedItems containsSemiMixedTypes="0" containsString="0" containsNumber="1" minValue="174.9" maxValue="183.4"/>
    </cacheField>
    <cacheField name="Transport and communication" numFmtId="0">
      <sharedItems containsSemiMixedTypes="0" containsString="0" containsNumber="1" minValue="157.19999999999999" maxValue="169.7"/>
    </cacheField>
    <cacheField name="Recreation and amusement" numFmtId="0">
      <sharedItems containsSemiMixedTypes="0" containsString="0" containsNumber="1" minValue="164.1" maxValue="173.8"/>
    </cacheField>
    <cacheField name="Education" numFmtId="0">
      <sharedItems containsSemiMixedTypes="0" containsString="0" containsNumber="1" minValue="166.5" maxValue="180.3"/>
    </cacheField>
    <cacheField name="Pan, tobacco and intoxicants" numFmtId="0">
      <sharedItems containsSemiMixedTypes="0" containsString="0" containsNumber="1" minValue="192.9" maxValue="204.2"/>
    </cacheField>
    <cacheField name="Miscellaneous" numFmtId="0">
      <sharedItems containsSemiMixedTypes="0" containsString="0" containsNumber="1" minValue="163.80000000000001" maxValue="179.5"/>
    </cacheField>
    <cacheField name="General index" numFmtId="0">
      <sharedItems containsSemiMixedTypes="0" containsString="0" containsNumber="1" minValue="171.4" maxValue="179.8"/>
    </cacheField>
    <cacheField name="Overall Total" numFmtId="0">
      <sharedItems containsSemiMixedTypes="0" containsString="0" containsNumber="1" minValue="4479.7000000000007" maxValue="4674.40000000000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Bhushan Yadav" refreshedDate="45904.998837847219" createdVersion="5" refreshedVersion="5" minRefreshableVersion="3" recordCount="36">
  <cacheSource type="worksheet">
    <worksheetSource ref="A1:R37" sheet="Q3Support"/>
  </cacheSource>
  <cacheFields count="18">
    <cacheField name="Sector" numFmtId="0">
      <sharedItems/>
    </cacheField>
    <cacheField name="Year" numFmtId="0">
      <sharedItems containsSemiMixedTypes="0" containsString="0" containsNumber="1" containsInteger="1" minValue="2022" maxValue="2023"/>
    </cacheField>
    <cacheField name="Month" numFmtId="0">
      <sharedItems/>
    </cacheField>
    <cacheField name="MMYY" numFmtId="0">
      <sharedItems/>
    </cacheField>
    <cacheField name="Cereals and products" numFmtId="0">
      <sharedItems containsSemiMixedTypes="0" containsString="0" containsNumber="1" minValue="153.80000000000001" maxValue="174.8"/>
    </cacheField>
    <cacheField name="Meat and fish" numFmtId="0">
      <sharedItems containsSemiMixedTypes="0" containsString="0" containsNumber="1" minValue="204.1" maxValue="223.4"/>
    </cacheField>
    <cacheField name="Egg" numFmtId="0">
      <sharedItems containsSemiMixedTypes="0" containsString="0" containsNumber="1" minValue="167.9" maxValue="197"/>
    </cacheField>
    <cacheField name="Milk and products" numFmtId="0">
      <sharedItems containsSemiMixedTypes="0" containsString="0" containsNumber="1" minValue="165.4" maxValue="179.6"/>
    </cacheField>
    <cacheField name="Oils and fats" numFmtId="0">
      <sharedItems containsSemiMixedTypes="0" containsString="0" containsNumber="1" minValue="164.4" maxValue="208.1"/>
    </cacheField>
    <cacheField name="Fruits" numFmtId="0">
      <sharedItems containsSemiMixedTypes="0" containsString="0" containsNumber="1" minValue="156.30000000000001" maxValue="179.5"/>
    </cacheField>
    <cacheField name="Vegetables" numFmtId="0">
      <sharedItems containsSemiMixedTypes="0" containsString="0" containsNumber="1" minValue="140.9" maxValue="228.6"/>
    </cacheField>
    <cacheField name="Pulses and products" numFmtId="0">
      <sharedItems containsSemiMixedTypes="0" containsString="0" containsNumber="1" minValue="163.6" maxValue="176.9"/>
    </cacheField>
    <cacheField name="Sugar and Confectionery" numFmtId="0">
      <sharedItems containsSemiMixedTypes="0" containsString="0" containsNumber="1" minValue="119.1" maxValue="124.2"/>
    </cacheField>
    <cacheField name="Spices" numFmtId="0">
      <sharedItems containsSemiMixedTypes="0" containsString="0" containsNumber="1" minValue="183.5" maxValue="221"/>
    </cacheField>
    <cacheField name="Non-alcoholic beverages" numFmtId="0">
      <sharedItems containsSemiMixedTypes="0" containsString="0" containsNumber="1" minValue="159.1" maxValue="178.7"/>
    </cacheField>
    <cacheField name="Prepared meals, snacks, sweets etc." numFmtId="0">
      <sharedItems containsSemiMixedTypes="0" containsString="0" containsNumber="1" minValue="181.9" maxValue="197.7"/>
    </cacheField>
    <cacheField name="Food and beverages" numFmtId="0">
      <sharedItems containsSemiMixedTypes="0" containsString="0" containsNumber="1" minValue="172.4" maxValue="183.3"/>
    </cacheField>
    <cacheField name="Food Total" numFmtId="0">
      <sharedItems containsSemiMixedTypes="0" containsString="0" containsNumber="1" minValue="2248.3000000000002" maxValue="2335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9">
  <r>
    <x v="0"/>
    <x v="0"/>
    <s v="January"/>
    <s v="January-2013"/>
    <s v="NA"/>
    <n v="1371.6999999999998"/>
    <n v="318.70000000000005"/>
    <n v="205.1"/>
    <n v="208.7"/>
    <n v="105.5"/>
    <n v="103.3"/>
    <n v="103.4"/>
    <n v="103.8"/>
    <n v="105.1"/>
    <n v="104"/>
    <n v="105.1"/>
    <n v="2729.3"/>
  </r>
  <r>
    <x v="1"/>
    <x v="0"/>
    <s v="January"/>
    <s v="January-2013"/>
    <s v="NA"/>
    <n v="1376.4"/>
    <n v="316.7"/>
    <n v="205.1"/>
    <n v="208.39999999999998"/>
    <n v="105.4"/>
    <n v="103.2"/>
    <n v="102.9"/>
    <n v="103.5"/>
    <n v="105.2"/>
    <n v="103.7"/>
    <n v="104"/>
    <n v="2730.4999999999995"/>
  </r>
  <r>
    <x v="2"/>
    <x v="0"/>
    <s v="January"/>
    <s v="January-2013"/>
    <s v="NA"/>
    <n v="1373.3000000000002"/>
    <n v="318"/>
    <n v="205.1"/>
    <n v="208.5"/>
    <n v="105.5"/>
    <n v="103.2"/>
    <n v="103.1"/>
    <n v="103.6"/>
    <n v="105.1"/>
    <n v="103.9"/>
    <n v="104.6"/>
    <n v="2729.2999999999997"/>
  </r>
  <r>
    <x v="0"/>
    <x v="0"/>
    <s v="February"/>
    <s v="February-2013"/>
    <s v="NA"/>
    <n v="1380.3999999999999"/>
    <n v="320.39999999999998"/>
    <n v="205.60000000000002"/>
    <n v="209"/>
    <n v="106.2"/>
    <n v="103.9"/>
    <n v="104"/>
    <n v="104.1"/>
    <n v="105.6"/>
    <n v="104.4"/>
    <n v="105.8"/>
    <n v="2743.5999999999995"/>
  </r>
  <r>
    <x v="1"/>
    <x v="0"/>
    <s v="February"/>
    <s v="February-2013"/>
    <s v="NA"/>
    <n v="1390.6000000000001"/>
    <n v="318.5"/>
    <n v="205.60000000000002"/>
    <n v="209"/>
    <n v="105.7"/>
    <n v="104.4"/>
    <n v="103.3"/>
    <n v="103.7"/>
    <n v="106"/>
    <n v="104.3"/>
    <n v="104.7"/>
    <n v="2751.1000000000004"/>
  </r>
  <r>
    <x v="2"/>
    <x v="0"/>
    <s v="February"/>
    <s v="February-2013"/>
    <s v="NA"/>
    <n v="1384.2"/>
    <n v="319.7"/>
    <n v="205.60000000000002"/>
    <n v="209"/>
    <n v="106"/>
    <n v="104.2"/>
    <n v="103.6"/>
    <n v="103.9"/>
    <n v="105.7"/>
    <n v="104.4"/>
    <n v="105.3"/>
    <n v="2746.2999999999997"/>
  </r>
  <r>
    <x v="0"/>
    <x v="0"/>
    <s v="March"/>
    <s v="March-2013"/>
    <s v="NA"/>
    <n v="1382.2"/>
    <n v="321.89999999999998"/>
    <n v="206"/>
    <n v="209"/>
    <n v="106.1"/>
    <n v="104.6"/>
    <n v="104"/>
    <n v="104.3"/>
    <n v="106.5"/>
    <n v="104.6"/>
    <n v="106"/>
    <n v="2749.2"/>
  </r>
  <r>
    <x v="1"/>
    <x v="0"/>
    <s v="March"/>
    <s v="March-2013"/>
    <s v="NA"/>
    <n v="1386.8"/>
    <n v="320.2"/>
    <n v="206.10000000000002"/>
    <n v="209.4"/>
    <n v="106"/>
    <n v="105.5"/>
    <n v="103.5"/>
    <n v="103.8"/>
    <n v="106.8"/>
    <n v="104.9"/>
    <n v="105"/>
    <n v="2753.0000000000005"/>
  </r>
  <r>
    <x v="2"/>
    <x v="0"/>
    <s v="March"/>
    <s v="March-2013"/>
    <s v="NA"/>
    <n v="1384.0000000000002"/>
    <n v="321.2"/>
    <n v="206"/>
    <n v="209.2"/>
    <n v="106.1"/>
    <n v="105.1"/>
    <n v="103.7"/>
    <n v="104"/>
    <n v="106.6"/>
    <n v="104.7"/>
    <n v="105.5"/>
    <n v="2750.5999999999995"/>
  </r>
  <r>
    <x v="0"/>
    <x v="0"/>
    <s v="April"/>
    <s v="April-2013"/>
    <s v="NA"/>
    <n v="1385.8"/>
    <n v="323.5"/>
    <n v="206.6"/>
    <n v="207.8"/>
    <n v="106.5"/>
    <n v="104.4"/>
    <n v="104.5"/>
    <n v="104.8"/>
    <n v="107.1"/>
    <n v="104.6"/>
    <n v="106.4"/>
    <n v="2755.6"/>
  </r>
  <r>
    <x v="1"/>
    <x v="0"/>
    <s v="April"/>
    <s v="April-2013"/>
    <s v="NA"/>
    <n v="1397.6999999999998"/>
    <n v="322"/>
    <n v="207"/>
    <n v="208.9"/>
    <n v="106.4"/>
    <n v="105"/>
    <n v="104"/>
    <n v="105.2"/>
    <n v="108.5"/>
    <n v="105.1"/>
    <n v="105.7"/>
    <n v="2769.7999999999997"/>
  </r>
  <r>
    <x v="2"/>
    <x v="0"/>
    <s v="April"/>
    <s v="April-2013"/>
    <s v="NA"/>
    <n v="1390.2"/>
    <n v="322.89999999999998"/>
    <n v="206.8"/>
    <n v="208.2"/>
    <n v="106.5"/>
    <n v="104.7"/>
    <n v="104.2"/>
    <n v="105"/>
    <n v="107.5"/>
    <n v="104.8"/>
    <n v="106.1"/>
    <n v="2760.7999999999997"/>
  </r>
  <r>
    <x v="0"/>
    <x v="0"/>
    <s v="May"/>
    <s v="May-2013"/>
    <s v="NA"/>
    <n v="1394"/>
    <n v="325.29999999999995"/>
    <n v="207.3"/>
    <n v="207.8"/>
    <n v="107.5"/>
    <n v="104.1"/>
    <n v="105"/>
    <n v="105.5"/>
    <n v="108.1"/>
    <n v="104.8"/>
    <n v="107.2"/>
    <n v="2769.4"/>
  </r>
  <r>
    <x v="1"/>
    <x v="0"/>
    <s v="May"/>
    <s v="May-2013"/>
    <s v="NA"/>
    <n v="1417.1999999999998"/>
    <n v="323.5"/>
    <n v="207.6"/>
    <n v="208.8"/>
    <n v="107.2"/>
    <n v="103.9"/>
    <n v="104.6"/>
    <n v="105.7"/>
    <n v="109.8"/>
    <n v="104.9"/>
    <n v="106.6"/>
    <n v="2793.2"/>
  </r>
  <r>
    <x v="2"/>
    <x v="0"/>
    <s v="May"/>
    <s v="May-2013"/>
    <s v="NA"/>
    <n v="1402.1999999999998"/>
    <n v="324.60000000000002"/>
    <n v="207.4"/>
    <n v="208.2"/>
    <n v="107.4"/>
    <n v="104"/>
    <n v="104.8"/>
    <n v="105.6"/>
    <n v="108.6"/>
    <n v="104.8"/>
    <n v="106.9"/>
    <n v="2777.6"/>
  </r>
  <r>
    <x v="0"/>
    <x v="0"/>
    <s v="June"/>
    <s v="June-2013"/>
    <s v="NA"/>
    <n v="1420"/>
    <n v="328"/>
    <n v="214.1"/>
    <n v="208.8"/>
    <n v="108.5"/>
    <n v="105"/>
    <n v="105.6"/>
    <n v="106.5"/>
    <n v="109"/>
    <n v="105.5"/>
    <n v="108.9"/>
    <n v="2811"/>
  </r>
  <r>
    <x v="1"/>
    <x v="0"/>
    <s v="June"/>
    <s v="June-2013"/>
    <s v="NA"/>
    <n v="1464.6000000000001"/>
    <n v="325.3"/>
    <n v="214.3"/>
    <n v="209.8"/>
    <n v="108"/>
    <n v="105.2"/>
    <n v="105.2"/>
    <n v="108.1"/>
    <n v="110.9"/>
    <n v="106.1"/>
    <n v="109.7"/>
    <n v="2857.4999999999995"/>
  </r>
  <r>
    <x v="2"/>
    <x v="0"/>
    <s v="June"/>
    <s v="June-2013"/>
    <s v="NA"/>
    <n v="1436"/>
    <n v="326.89999999999998"/>
    <n v="214.2"/>
    <n v="209.2"/>
    <n v="108.3"/>
    <n v="105.1"/>
    <n v="105.4"/>
    <n v="107.4"/>
    <n v="109.5"/>
    <n v="105.8"/>
    <n v="109.3"/>
    <n v="2827.8000000000006"/>
  </r>
  <r>
    <x v="0"/>
    <x v="0"/>
    <s v="July"/>
    <s v="July-2013"/>
    <s v="NA"/>
    <n v="1445.8999999999996"/>
    <n v="330.3"/>
    <n v="216"/>
    <n v="209.4"/>
    <n v="109.5"/>
    <n v="106.8"/>
    <n v="106.4"/>
    <n v="107.8"/>
    <n v="109.8"/>
    <n v="106.5"/>
    <n v="110.7"/>
    <n v="2848.4"/>
  </r>
  <r>
    <x v="1"/>
    <x v="0"/>
    <s v="July"/>
    <s v="July-2013"/>
    <s v="NA"/>
    <n v="1489.4"/>
    <n v="327.10000000000002"/>
    <n v="215.8"/>
    <n v="210.3"/>
    <n v="108.6"/>
    <n v="107.3"/>
    <n v="105.9"/>
    <n v="110.1"/>
    <n v="111.7"/>
    <n v="107.3"/>
    <n v="111.4"/>
    <n v="2893.5"/>
  </r>
  <r>
    <x v="2"/>
    <x v="0"/>
    <s v="July"/>
    <s v="July-2013"/>
    <s v="NA"/>
    <n v="1461.3999999999999"/>
    <n v="329"/>
    <n v="215.9"/>
    <n v="209.8"/>
    <n v="109.2"/>
    <n v="107.1"/>
    <n v="106.1"/>
    <n v="109.1"/>
    <n v="110.3"/>
    <n v="106.9"/>
    <n v="111"/>
    <n v="2864.7999999999997"/>
  </r>
  <r>
    <x v="0"/>
    <x v="0"/>
    <s v="August"/>
    <s v="August-2013"/>
    <s v="NA"/>
    <n v="1462.5"/>
    <n v="332.6"/>
    <n v="217.60000000000002"/>
    <n v="212.5"/>
    <n v="109.9"/>
    <n v="107.8"/>
    <n v="106.8"/>
    <n v="108.7"/>
    <n v="110.7"/>
    <n v="107.5"/>
    <n v="112.1"/>
    <n v="2876.6"/>
  </r>
  <r>
    <x v="1"/>
    <x v="0"/>
    <s v="August"/>
    <s v="August-2013"/>
    <s v="NA"/>
    <n v="1506.1000000000001"/>
    <n v="329.09999999999997"/>
    <n v="217.60000000000002"/>
    <n v="213.6"/>
    <n v="109.3"/>
    <n v="108.1"/>
    <n v="106.5"/>
    <n v="110.8"/>
    <n v="112.4"/>
    <n v="108.3"/>
    <n v="112.7"/>
    <n v="2921.8000000000006"/>
  </r>
  <r>
    <x v="2"/>
    <x v="0"/>
    <s v="August"/>
    <s v="August-2013"/>
    <s v="NA"/>
    <n v="1477.4"/>
    <n v="331.1"/>
    <n v="217.60000000000002"/>
    <n v="212.9"/>
    <n v="109.7"/>
    <n v="108"/>
    <n v="106.6"/>
    <n v="109.9"/>
    <n v="111.2"/>
    <n v="107.9"/>
    <n v="112.4"/>
    <n v="2892.2999999999997"/>
  </r>
  <r>
    <x v="0"/>
    <x v="0"/>
    <s v="September"/>
    <s v="September-2013"/>
    <s v="NA"/>
    <n v="1488.5000000000002"/>
    <n v="336.6"/>
    <n v="219.3"/>
    <n v="215"/>
    <n v="111.1"/>
    <n v="109.3"/>
    <n v="107.7"/>
    <n v="109.8"/>
    <n v="111.7"/>
    <n v="108.7"/>
    <n v="114.2"/>
    <n v="2917.7000000000003"/>
  </r>
  <r>
    <x v="1"/>
    <x v="0"/>
    <s v="September"/>
    <s v="September-2013"/>
    <s v="NA"/>
    <n v="1500.4"/>
    <n v="331.5"/>
    <n v="219.3"/>
    <n v="214.8"/>
    <n v="109.5"/>
    <n v="110.4"/>
    <n v="107.4"/>
    <n v="111.2"/>
    <n v="112.9"/>
    <n v="109.4"/>
    <n v="113.2"/>
    <n v="2926.8000000000006"/>
  </r>
  <r>
    <x v="2"/>
    <x v="0"/>
    <s v="September"/>
    <s v="September-2013"/>
    <s v="NA"/>
    <n v="1491.6999999999998"/>
    <n v="334.5"/>
    <n v="219.3"/>
    <n v="214.89999999999998"/>
    <n v="110.5"/>
    <n v="109.9"/>
    <n v="107.5"/>
    <n v="110.6"/>
    <n v="112"/>
    <n v="109"/>
    <n v="113.7"/>
    <n v="2919.8999999999996"/>
  </r>
  <r>
    <x v="0"/>
    <x v="0"/>
    <s v="October"/>
    <s v="October-2013"/>
    <s v="NA"/>
    <n v="1508"/>
    <n v="339.29999999999995"/>
    <n v="220.9"/>
    <n v="216.4"/>
    <n v="111.6"/>
    <n v="109.3"/>
    <n v="108.3"/>
    <n v="110.2"/>
    <n v="112.2"/>
    <n v="109.1"/>
    <n v="115.5"/>
    <n v="2945.2999999999997"/>
  </r>
  <r>
    <x v="1"/>
    <x v="0"/>
    <s v="October"/>
    <s v="October-2013"/>
    <s v="NA"/>
    <n v="1517.1999999999998"/>
    <n v="334.2"/>
    <n v="220.7"/>
    <n v="215.5"/>
    <n v="109.7"/>
    <n v="109.7"/>
    <n v="108"/>
    <n v="111.3"/>
    <n v="113.5"/>
    <n v="109.4"/>
    <n v="114"/>
    <n v="2949.2"/>
  </r>
  <r>
    <x v="2"/>
    <x v="0"/>
    <s v="October"/>
    <s v="October-2013"/>
    <s v="NA"/>
    <n v="1510.2000000000003"/>
    <n v="337.2"/>
    <n v="220.8"/>
    <n v="216"/>
    <n v="110.9"/>
    <n v="109.5"/>
    <n v="108.1"/>
    <n v="110.8"/>
    <n v="112.5"/>
    <n v="109.2"/>
    <n v="114.8"/>
    <n v="2945.2000000000003"/>
  </r>
  <r>
    <x v="0"/>
    <x v="0"/>
    <s v="November "/>
    <s v="November -2013"/>
    <s v="NA"/>
    <n v="1536.8"/>
    <n v="342.1"/>
    <n v="222.39999999999998"/>
    <n v="217.9"/>
    <n v="112.6"/>
    <n v="109.6"/>
    <n v="108.7"/>
    <n v="111"/>
    <n v="112.8"/>
    <n v="109.8"/>
    <n v="117.4"/>
    <n v="2983.7000000000003"/>
  </r>
  <r>
    <x v="1"/>
    <x v="0"/>
    <s v="November"/>
    <s v="November-2013"/>
    <s v="NA"/>
    <n v="1544.6"/>
    <n v="336.8"/>
    <n v="222"/>
    <n v="216.5"/>
    <n v="110"/>
    <n v="109.5"/>
    <n v="108.5"/>
    <n v="111.3"/>
    <n v="114.1"/>
    <n v="109.6"/>
    <n v="115"/>
    <n v="2982.8999999999996"/>
  </r>
  <r>
    <x v="2"/>
    <x v="0"/>
    <s v="November"/>
    <s v="November-2013"/>
    <s v="NA"/>
    <n v="1538.8"/>
    <n v="339.90000000000003"/>
    <n v="222.2"/>
    <n v="217.39999999999998"/>
    <n v="111.6"/>
    <n v="109.5"/>
    <n v="108.6"/>
    <n v="111.2"/>
    <n v="113.1"/>
    <n v="109.7"/>
    <n v="116.3"/>
    <n v="2981.9999999999995"/>
  </r>
  <r>
    <x v="0"/>
    <x v="0"/>
    <s v="December"/>
    <s v="December-2013"/>
    <s v="NA"/>
    <n v="1509"/>
    <n v="345.3"/>
    <n v="222.8"/>
    <n v="218.2"/>
    <n v="112.8"/>
    <n v="109.9"/>
    <n v="109.2"/>
    <n v="111.6"/>
    <n v="113.6"/>
    <n v="110.1"/>
    <n v="115.5"/>
    <n v="2962.4999999999995"/>
  </r>
  <r>
    <x v="1"/>
    <x v="0"/>
    <s v="December"/>
    <s v="December-2013"/>
    <s v="NA"/>
    <n v="1504.4"/>
    <n v="338.8"/>
    <n v="222"/>
    <n v="216.7"/>
    <n v="110.4"/>
    <n v="109.7"/>
    <n v="108.9"/>
    <n v="111.4"/>
    <n v="115"/>
    <n v="109.8"/>
    <n v="113.3"/>
    <n v="2947.1"/>
  </r>
  <r>
    <x v="2"/>
    <x v="0"/>
    <s v="December"/>
    <s v="December-2013"/>
    <s v="NA"/>
    <n v="1507.3000000000002"/>
    <n v="342.7"/>
    <n v="222.4"/>
    <n v="217.60000000000002"/>
    <n v="111.9"/>
    <n v="109.8"/>
    <n v="109"/>
    <n v="111.5"/>
    <n v="114"/>
    <n v="110"/>
    <n v="114.5"/>
    <n v="2956.2000000000003"/>
  </r>
  <r>
    <x v="0"/>
    <x v="1"/>
    <s v="January"/>
    <s v="January-2014"/>
    <s v="NA"/>
    <n v="1486.6000000000001"/>
    <n v="347.2"/>
    <n v="224.2"/>
    <n v="218.89999999999998"/>
    <n v="113"/>
    <n v="110.5"/>
    <n v="109.6"/>
    <n v="111.8"/>
    <n v="114"/>
    <n v="110.6"/>
    <n v="114.2"/>
    <n v="2946.4"/>
  </r>
  <r>
    <x v="1"/>
    <x v="1"/>
    <s v="January"/>
    <s v="January-2014"/>
    <s v="NA"/>
    <n v="1484.3"/>
    <n v="340.4"/>
    <n v="223.5"/>
    <n v="217.7"/>
    <n v="111"/>
    <n v="110.8"/>
    <n v="109.8"/>
    <n v="111.5"/>
    <n v="115.7"/>
    <n v="110.5"/>
    <n v="112.9"/>
    <n v="2935.2"/>
  </r>
  <r>
    <x v="2"/>
    <x v="1"/>
    <s v="January"/>
    <s v="January-2014"/>
    <s v="NA"/>
    <n v="1485.7999999999997"/>
    <n v="344.4"/>
    <n v="223.89999999999998"/>
    <n v="218.5"/>
    <n v="112.2"/>
    <n v="110.7"/>
    <n v="109.7"/>
    <n v="111.6"/>
    <n v="114.5"/>
    <n v="110.6"/>
    <n v="113.6"/>
    <n v="2941.8999999999992"/>
  </r>
  <r>
    <x v="0"/>
    <x v="1"/>
    <s v="February"/>
    <s v="February-2014"/>
    <s v="NA"/>
    <n v="1482.2"/>
    <n v="348.3"/>
    <n v="225.4"/>
    <n v="219.60000000000002"/>
    <n v="113.2"/>
    <n v="110.8"/>
    <n v="109.9"/>
    <n v="112"/>
    <n v="114.2"/>
    <n v="110.9"/>
    <n v="114"/>
    <n v="2946.5"/>
  </r>
  <r>
    <x v="1"/>
    <x v="1"/>
    <s v="February"/>
    <s v="February-2014"/>
    <s v="NA"/>
    <n v="1476"/>
    <n v="341.7"/>
    <n v="225.1"/>
    <n v="219.10000000000002"/>
    <n v="111.1"/>
    <n v="111.3"/>
    <n v="110.3"/>
    <n v="111.6"/>
    <n v="116.2"/>
    <n v="111"/>
    <n v="113.1"/>
    <n v="2933.4"/>
  </r>
  <r>
    <x v="2"/>
    <x v="1"/>
    <s v="February"/>
    <s v="February-2014"/>
    <s v="NA"/>
    <n v="1480.1"/>
    <n v="345.6"/>
    <n v="225.3"/>
    <n v="219.4"/>
    <n v="112.4"/>
    <n v="111.1"/>
    <n v="110.1"/>
    <n v="111.8"/>
    <n v="114.7"/>
    <n v="110.9"/>
    <n v="113.6"/>
    <n v="2941.4"/>
  </r>
  <r>
    <x v="0"/>
    <x v="1"/>
    <s v="March"/>
    <s v="March-2014"/>
    <s v="NA"/>
    <n v="1491.4"/>
    <n v="349.6"/>
    <n v="226.60000000000002"/>
    <n v="220.3"/>
    <n v="113.4"/>
    <n v="111.2"/>
    <n v="110.2"/>
    <n v="112.4"/>
    <n v="114.6"/>
    <n v="111.3"/>
    <n v="114.6"/>
    <n v="2961"/>
  </r>
  <r>
    <x v="1"/>
    <x v="1"/>
    <s v="March"/>
    <s v="March-2014"/>
    <s v="NA"/>
    <n v="1483"/>
    <n v="343.09999999999997"/>
    <n v="226.2"/>
    <n v="220"/>
    <n v="110.9"/>
    <n v="111.6"/>
    <n v="110.9"/>
    <n v="111.8"/>
    <n v="116.7"/>
    <n v="111.4"/>
    <n v="113.7"/>
    <n v="2945.6"/>
  </r>
  <r>
    <x v="2"/>
    <x v="1"/>
    <s v="Marcrh"/>
    <s v="Marcrh-2014"/>
    <s v="NA"/>
    <n v="1488.2999999999997"/>
    <n v="346.9"/>
    <n v="226.4"/>
    <n v="220.2"/>
    <n v="112.5"/>
    <n v="111.4"/>
    <n v="110.6"/>
    <n v="112"/>
    <n v="115.2"/>
    <n v="111.3"/>
    <n v="114.2"/>
    <n v="2954.7999999999997"/>
  </r>
  <r>
    <x v="0"/>
    <x v="1"/>
    <s v="April"/>
    <s v="April-2014"/>
    <s v="NA"/>
    <n v="1504.1000000000001"/>
    <n v="352"/>
    <n v="227.60000000000002"/>
    <n v="220.7"/>
    <n v="113.4"/>
    <n v="111.2"/>
    <n v="110.5"/>
    <n v="113"/>
    <n v="115.4"/>
    <n v="111.5"/>
    <n v="115.4"/>
    <n v="2979.4"/>
  </r>
  <r>
    <x v="1"/>
    <x v="1"/>
    <s v="April"/>
    <s v="April-2014"/>
    <s v="NA"/>
    <n v="1504.0000000000002"/>
    <n v="344.5"/>
    <n v="227.3"/>
    <n v="220.1"/>
    <n v="110.9"/>
    <n v="111.2"/>
    <n v="111.2"/>
    <n v="112.5"/>
    <n v="117.6"/>
    <n v="111.4"/>
    <n v="114.7"/>
    <n v="2970.7"/>
  </r>
  <r>
    <x v="2"/>
    <x v="1"/>
    <s v="April"/>
    <s v="April-2014"/>
    <s v="NA"/>
    <n v="1504.1"/>
    <n v="349"/>
    <n v="227.5"/>
    <n v="220.5"/>
    <n v="112.5"/>
    <n v="111.2"/>
    <n v="110.9"/>
    <n v="112.7"/>
    <n v="116"/>
    <n v="111.5"/>
    <n v="115.1"/>
    <n v="2975.8999999999996"/>
  </r>
  <r>
    <x v="0"/>
    <x v="1"/>
    <s v="May"/>
    <s v="May-2014"/>
    <s v="NA"/>
    <n v="1513.8999999999999"/>
    <n v="354"/>
    <n v="228.39999999999998"/>
    <n v="221"/>
    <n v="113.4"/>
    <n v="111.4"/>
    <n v="110.9"/>
    <n v="113.1"/>
    <n v="116.3"/>
    <n v="111.8"/>
    <n v="116"/>
    <n v="2994.2000000000003"/>
  </r>
  <r>
    <x v="1"/>
    <x v="1"/>
    <s v="May"/>
    <s v="May-2014"/>
    <s v="NA"/>
    <n v="1525.3000000000002"/>
    <n v="345.9"/>
    <n v="228.39999999999998"/>
    <n v="220.5"/>
    <n v="111.1"/>
    <n v="111.3"/>
    <n v="111.5"/>
    <n v="112.9"/>
    <n v="118.3"/>
    <n v="111.7"/>
    <n v="115.6"/>
    <n v="2996.9000000000005"/>
  </r>
  <r>
    <x v="2"/>
    <x v="1"/>
    <s v="May"/>
    <s v="May-2014"/>
    <s v="NA"/>
    <n v="1518.5000000000005"/>
    <n v="350.79999999999995"/>
    <n v="228.39999999999998"/>
    <n v="220.89999999999998"/>
    <n v="112.5"/>
    <n v="111.3"/>
    <n v="111.2"/>
    <n v="113"/>
    <n v="116.8"/>
    <n v="111.8"/>
    <n v="115.8"/>
    <n v="2995.2000000000007"/>
  </r>
  <r>
    <x v="0"/>
    <x v="1"/>
    <s v="June"/>
    <s v="June-2014"/>
    <s v="NA"/>
    <n v="1525.6999999999998"/>
    <n v="356.3"/>
    <n v="228.8"/>
    <n v="220.8"/>
    <n v="114.4"/>
    <n v="112.2"/>
    <n v="111.4"/>
    <n v="114.3"/>
    <n v="117.3"/>
    <n v="112.3"/>
    <n v="117"/>
    <n v="3013.5000000000005"/>
  </r>
  <r>
    <x v="1"/>
    <x v="1"/>
    <s v="June"/>
    <s v="June-2014"/>
    <s v="NA"/>
    <n v="1547"/>
    <n v="347.3"/>
    <n v="228.2"/>
    <n v="220.10000000000002"/>
    <n v="111.2"/>
    <n v="111.5"/>
    <n v="111.8"/>
    <n v="115.1"/>
    <n v="119"/>
    <n v="112.2"/>
    <n v="116.4"/>
    <n v="3023.3999999999996"/>
  </r>
  <r>
    <x v="2"/>
    <x v="1"/>
    <s v="June"/>
    <s v="June-2014"/>
    <s v="NA"/>
    <n v="1533.7000000000003"/>
    <n v="352.7"/>
    <n v="228.5"/>
    <n v="220.6"/>
    <n v="113.2"/>
    <n v="111.8"/>
    <n v="111.6"/>
    <n v="114.8"/>
    <n v="117.8"/>
    <n v="112.3"/>
    <n v="116.7"/>
    <n v="3017.0000000000009"/>
  </r>
  <r>
    <x v="0"/>
    <x v="1"/>
    <s v="July"/>
    <s v="July-2014"/>
    <s v="NA"/>
    <n v="1563.2"/>
    <n v="359.3"/>
    <n v="230.2"/>
    <n v="222.2"/>
    <n v="115.3"/>
    <n v="113.2"/>
    <n v="111.8"/>
    <n v="115.5"/>
    <n v="118"/>
    <n v="113.1"/>
    <n v="119.5"/>
    <n v="3061.7999999999997"/>
  </r>
  <r>
    <x v="1"/>
    <x v="1"/>
    <s v="July"/>
    <s v="July-2014"/>
    <s v="NA"/>
    <n v="1599.5"/>
    <n v="349"/>
    <n v="229.7"/>
    <n v="221.2"/>
    <n v="111.6"/>
    <n v="113"/>
    <n v="112.4"/>
    <n v="117.8"/>
    <n v="121"/>
    <n v="113.5"/>
    <n v="118.9"/>
    <n v="3088.7"/>
  </r>
  <r>
    <x v="2"/>
    <x v="1"/>
    <s v="July"/>
    <s v="July-2014"/>
    <s v="NA"/>
    <n v="1576.3"/>
    <n v="355"/>
    <n v="230"/>
    <n v="221.9"/>
    <n v="113.9"/>
    <n v="113.1"/>
    <n v="112.1"/>
    <n v="116.8"/>
    <n v="118.8"/>
    <n v="113.3"/>
    <n v="119.2"/>
    <n v="3071.2000000000007"/>
  </r>
  <r>
    <x v="0"/>
    <x v="1"/>
    <s v="August"/>
    <s v="August-2014"/>
    <s v="NA"/>
    <n v="1582.2999999999997"/>
    <n v="360.4"/>
    <n v="231.4"/>
    <n v="223.4"/>
    <n v="115.4"/>
    <n v="113.2"/>
    <n v="112.2"/>
    <n v="116.2"/>
    <n v="118.8"/>
    <n v="113.5"/>
    <n v="120.7"/>
    <n v="3086.7999999999997"/>
  </r>
  <r>
    <x v="1"/>
    <x v="1"/>
    <s v="August"/>
    <s v="August-2014"/>
    <s v="NA"/>
    <n v="1617"/>
    <n v="350.6"/>
    <n v="230.8"/>
    <n v="222.7"/>
    <n v="111.8"/>
    <n v="112.5"/>
    <n v="112.9"/>
    <n v="119.2"/>
    <n v="123"/>
    <n v="113.9"/>
    <n v="119.9"/>
    <n v="3114.4"/>
  </r>
  <r>
    <x v="2"/>
    <x v="1"/>
    <s v="August"/>
    <s v="August-2014"/>
    <s v="NA"/>
    <n v="1594.4999999999998"/>
    <n v="356.4"/>
    <n v="231.1"/>
    <n v="223.2"/>
    <n v="114"/>
    <n v="112.8"/>
    <n v="112.6"/>
    <n v="118"/>
    <n v="119.9"/>
    <n v="113.7"/>
    <n v="120.3"/>
    <n v="3096.1999999999994"/>
  </r>
  <r>
    <x v="0"/>
    <x v="1"/>
    <s v="September"/>
    <s v="September-2014"/>
    <s v="NA"/>
    <n v="1583.2"/>
    <n v="362.2"/>
    <n v="232.8"/>
    <n v="223.6"/>
    <n v="115.8"/>
    <n v="112.8"/>
    <n v="112.6"/>
    <n v="116.6"/>
    <n v="119.5"/>
    <n v="113.7"/>
    <n v="120.9"/>
    <n v="3092.8"/>
  </r>
  <r>
    <x v="1"/>
    <x v="1"/>
    <s v="September"/>
    <s v="September-2014"/>
    <s v="NA"/>
    <n v="1593.7000000000003"/>
    <n v="352.1"/>
    <n v="231.6"/>
    <n v="222.3"/>
    <n v="111.8"/>
    <n v="111.2"/>
    <n v="113.4"/>
    <n v="120"/>
    <n v="124.3"/>
    <n v="113.6"/>
    <n v="119.2"/>
    <n v="3094.0000000000005"/>
  </r>
  <r>
    <x v="2"/>
    <x v="1"/>
    <s v="September"/>
    <s v="September-2014"/>
    <s v="NA"/>
    <n v="1586.0999999999997"/>
    <n v="358"/>
    <n v="232.2"/>
    <n v="223.2"/>
    <n v="114.3"/>
    <n v="112"/>
    <n v="113.1"/>
    <n v="118.6"/>
    <n v="120.8"/>
    <n v="113.7"/>
    <n v="120.1"/>
    <n v="3091.9999999999995"/>
  </r>
  <r>
    <x v="0"/>
    <x v="1"/>
    <s v="October"/>
    <s v="October-2014"/>
    <s v="NA"/>
    <n v="1581.1999999999998"/>
    <n v="365.3"/>
    <n v="234.2"/>
    <n v="224.6"/>
    <n v="116.4"/>
    <n v="112.6"/>
    <n v="113"/>
    <n v="116.9"/>
    <n v="120"/>
    <n v="114"/>
    <n v="121"/>
    <n v="3098.2"/>
  </r>
  <r>
    <x v="1"/>
    <x v="1"/>
    <s v="October"/>
    <s v="October-2014"/>
    <s v="NA"/>
    <n v="1587.5"/>
    <n v="353.4"/>
    <n v="232.5"/>
    <n v="222.7"/>
    <n v="112"/>
    <n v="111"/>
    <n v="113.6"/>
    <n v="120.2"/>
    <n v="124.3"/>
    <n v="113.7"/>
    <n v="119.1"/>
    <n v="3090.8999999999996"/>
  </r>
  <r>
    <x v="2"/>
    <x v="1"/>
    <s v="October"/>
    <s v="October-2014"/>
    <s v="NA"/>
    <n v="1582.7"/>
    <n v="360.6"/>
    <n v="233.4"/>
    <n v="223.89999999999998"/>
    <n v="114.7"/>
    <n v="111.8"/>
    <n v="113.3"/>
    <n v="118.8"/>
    <n v="121.1"/>
    <n v="113.9"/>
    <n v="120.1"/>
    <n v="3094.2000000000007"/>
  </r>
  <r>
    <x v="0"/>
    <x v="1"/>
    <s v="November"/>
    <s v="November-2014"/>
    <s v="NA"/>
    <n v="1582"/>
    <n v="366.70000000000005"/>
    <n v="235.2"/>
    <n v="224.7"/>
    <n v="117.3"/>
    <n v="112"/>
    <n v="113.3"/>
    <n v="117.2"/>
    <n v="120.8"/>
    <n v="114.1"/>
    <n v="121.1"/>
    <n v="3103.3"/>
  </r>
  <r>
    <x v="1"/>
    <x v="1"/>
    <s v="November"/>
    <s v="November-2014"/>
    <s v="NA"/>
    <n v="1587.8"/>
    <n v="355.2"/>
    <n v="233.5"/>
    <n v="222.6"/>
    <n v="112.6"/>
    <n v="109.7"/>
    <n v="114"/>
    <n v="120.3"/>
    <n v="125.8"/>
    <n v="113.4"/>
    <n v="119"/>
    <n v="3094.9"/>
  </r>
  <r>
    <x v="2"/>
    <x v="1"/>
    <s v="November"/>
    <s v="November-2014"/>
    <s v="NA"/>
    <n v="1583.2"/>
    <n v="362.1"/>
    <n v="234.39999999999998"/>
    <n v="223.89999999999998"/>
    <n v="115.5"/>
    <n v="110.8"/>
    <n v="113.7"/>
    <n v="119"/>
    <n v="122.1"/>
    <n v="113.8"/>
    <n v="120.1"/>
    <n v="3098.5000000000005"/>
  </r>
  <r>
    <x v="0"/>
    <x v="1"/>
    <s v="December"/>
    <s v="December-2014"/>
    <s v="NA"/>
    <n v="1569.6"/>
    <n v="367.7"/>
    <n v="234.7"/>
    <n v="225.60000000000002"/>
    <n v="117.4"/>
    <n v="111.5"/>
    <n v="113.3"/>
    <n v="117.7"/>
    <n v="121.7"/>
    <n v="114.2"/>
    <n v="120.3"/>
    <n v="3093.3999999999996"/>
  </r>
  <r>
    <x v="1"/>
    <x v="1"/>
    <s v="December"/>
    <s v="December-2014"/>
    <s v="NA"/>
    <n v="1577.1999999999998"/>
    <n v="356.5"/>
    <n v="233.3"/>
    <n v="223.60000000000002"/>
    <n v="113"/>
    <n v="108.8"/>
    <n v="114.3"/>
    <n v="120.7"/>
    <n v="126.4"/>
    <n v="113.4"/>
    <n v="118.4"/>
    <n v="3087.2000000000003"/>
  </r>
  <r>
    <x v="2"/>
    <x v="1"/>
    <s v="December"/>
    <s v="December-2014"/>
    <s v="NA"/>
    <n v="1571.6999999999998"/>
    <n v="363.2"/>
    <n v="234"/>
    <n v="224.89999999999998"/>
    <n v="115.7"/>
    <n v="110.1"/>
    <n v="113.9"/>
    <n v="119.5"/>
    <n v="123"/>
    <n v="113.8"/>
    <n v="119.4"/>
    <n v="3089.7999999999997"/>
  </r>
  <r>
    <x v="0"/>
    <x v="2"/>
    <s v="January"/>
    <s v="January-2015"/>
    <s v="NA"/>
    <n v="1568.1"/>
    <n v="370"/>
    <n v="236.2"/>
    <n v="226.8"/>
    <n v="118.4"/>
    <n v="111"/>
    <n v="114"/>
    <n v="118.2"/>
    <n v="122.7"/>
    <n v="114.5"/>
    <n v="120.3"/>
    <n v="3099.8999999999996"/>
  </r>
  <r>
    <x v="1"/>
    <x v="2"/>
    <s v="January"/>
    <s v="January-2015"/>
    <s v="NA"/>
    <n v="1574.8999999999999"/>
    <n v="357.3"/>
    <n v="234.5"/>
    <n v="225.10000000000002"/>
    <n v="113.4"/>
    <n v="107.9"/>
    <n v="114.6"/>
    <n v="120.8"/>
    <n v="127.4"/>
    <n v="113.4"/>
    <n v="118.5"/>
    <n v="3089.3"/>
  </r>
  <r>
    <x v="2"/>
    <x v="2"/>
    <s v="January"/>
    <s v="January-2015"/>
    <s v="NA"/>
    <n v="1569.3"/>
    <n v="364.9"/>
    <n v="235.39999999999998"/>
    <n v="226.2"/>
    <n v="116.5"/>
    <n v="109.4"/>
    <n v="114.3"/>
    <n v="119.7"/>
    <n v="124"/>
    <n v="114"/>
    <n v="119.5"/>
    <n v="3093.7"/>
  </r>
  <r>
    <x v="0"/>
    <x v="2"/>
    <s v="February"/>
    <s v="February-2015"/>
    <s v="NA"/>
    <n v="1570.5999999999997"/>
    <n v="373.1"/>
    <n v="237.7"/>
    <n v="228.5"/>
    <n v="120"/>
    <n v="110.9"/>
    <n v="114.8"/>
    <n v="118.7"/>
    <n v="124.2"/>
    <n v="115"/>
    <n v="120.6"/>
    <n v="3113.4999999999995"/>
  </r>
  <r>
    <x v="1"/>
    <x v="2"/>
    <s v="February"/>
    <s v="February-2015"/>
    <s v="NA"/>
    <n v="1571.1000000000001"/>
    <n v="358.4"/>
    <n v="235.8"/>
    <n v="225.8"/>
    <n v="114"/>
    <n v="106.8"/>
    <n v="114.9"/>
    <n v="120.4"/>
    <n v="128.1"/>
    <n v="113.2"/>
    <n v="118.7"/>
    <n v="3088.5000000000005"/>
  </r>
  <r>
    <x v="2"/>
    <x v="2"/>
    <s v="February"/>
    <s v="February-2015"/>
    <s v="NA"/>
    <n v="1569.3999999999996"/>
    <n v="367.2"/>
    <n v="236.8"/>
    <n v="227.5"/>
    <n v="117.7"/>
    <n v="108.7"/>
    <n v="114.9"/>
    <n v="119.7"/>
    <n v="125.2"/>
    <n v="114.1"/>
    <n v="119.7"/>
    <n v="3101.1999999999989"/>
  </r>
  <r>
    <x v="0"/>
    <x v="2"/>
    <s v="March"/>
    <s v="March-2015"/>
    <s v="NA"/>
    <n v="1571.5"/>
    <n v="374.4"/>
    <n v="238.8"/>
    <n v="229"/>
    <n v="120.6"/>
    <n v="111.6"/>
    <n v="115.5"/>
    <n v="119.4"/>
    <n v="124.7"/>
    <n v="115.5"/>
    <n v="121.1"/>
    <n v="3121"/>
  </r>
  <r>
    <x v="1"/>
    <x v="2"/>
    <s v="March"/>
    <s v="March-2015"/>
    <s v="NA"/>
    <n v="1568.0000000000002"/>
    <n v="359.5"/>
    <n v="236.6"/>
    <n v="225.6"/>
    <n v="114.4"/>
    <n v="108.4"/>
    <n v="115.4"/>
    <n v="120.6"/>
    <n v="128.80000000000001"/>
    <n v="113.8"/>
    <n v="119.1"/>
    <n v="3091.1000000000008"/>
  </r>
  <r>
    <x v="2"/>
    <x v="2"/>
    <s v="March"/>
    <s v="March-2015"/>
    <s v="NA"/>
    <n v="1569.1"/>
    <n v="368.4"/>
    <n v="237.8"/>
    <n v="227.7"/>
    <n v="118.3"/>
    <n v="109.9"/>
    <n v="115.4"/>
    <n v="120.1"/>
    <n v="125.8"/>
    <n v="114.7"/>
    <n v="120.2"/>
    <n v="3107.2000000000003"/>
  </r>
  <r>
    <x v="0"/>
    <x v="2"/>
    <s v="April"/>
    <s v="April-2015"/>
    <s v="NA"/>
    <n v="1577.2"/>
    <n v="375.7"/>
    <n v="240.10000000000002"/>
    <n v="230.2"/>
    <n v="121.2"/>
    <n v="111.9"/>
    <n v="116.2"/>
    <n v="119.9"/>
    <n v="125.7"/>
    <n v="116"/>
    <n v="121.5"/>
    <n v="3134.0999999999995"/>
  </r>
  <r>
    <x v="1"/>
    <x v="2"/>
    <s v="April"/>
    <s v="April-2015"/>
    <s v="NA"/>
    <n v="1576.1"/>
    <n v="360.6"/>
    <n v="237.60000000000002"/>
    <n v="226.39999999999998"/>
    <n v="114.7"/>
    <n v="108.4"/>
    <n v="115.6"/>
    <n v="121.7"/>
    <n v="130.1"/>
    <n v="114.2"/>
    <n v="119.7"/>
    <n v="3105.3999999999992"/>
  </r>
  <r>
    <x v="2"/>
    <x v="2"/>
    <s v="April"/>
    <s v="April-2015"/>
    <s v="NA"/>
    <n v="1575.7"/>
    <n v="369.6"/>
    <n v="238.9"/>
    <n v="228.8"/>
    <n v="118.7"/>
    <n v="110.1"/>
    <n v="115.9"/>
    <n v="121"/>
    <n v="126.9"/>
    <n v="115.1"/>
    <n v="120.7"/>
    <n v="3120.7000000000003"/>
  </r>
  <r>
    <x v="0"/>
    <x v="2"/>
    <s v="May"/>
    <s v="May-2015"/>
    <s v="NA"/>
    <n v="1587.7"/>
    <n v="378.2"/>
    <n v="241.1"/>
    <n v="231.7"/>
    <n v="121.9"/>
    <n v="113.3"/>
    <n v="116.7"/>
    <n v="120.5"/>
    <n v="126.7"/>
    <n v="116.9"/>
    <n v="122.4"/>
    <n v="3154.7"/>
  </r>
  <r>
    <x v="1"/>
    <x v="2"/>
    <s v="May"/>
    <s v="May-2015"/>
    <s v="NA"/>
    <n v="1598.9"/>
    <n v="361.4"/>
    <n v="238.3"/>
    <n v="227.3"/>
    <n v="114.9"/>
    <n v="110.8"/>
    <n v="116"/>
    <n v="122"/>
    <n v="131.30000000000001"/>
    <n v="115.2"/>
    <n v="120.7"/>
    <n v="3136.1000000000008"/>
  </r>
  <r>
    <x v="2"/>
    <x v="2"/>
    <s v="May"/>
    <s v="May-2015"/>
    <s v="NA"/>
    <n v="1590.4"/>
    <n v="371.4"/>
    <n v="239.8"/>
    <n v="230"/>
    <n v="119.2"/>
    <n v="112"/>
    <n v="116.3"/>
    <n v="121.4"/>
    <n v="127.9"/>
    <n v="116.1"/>
    <n v="121.6"/>
    <n v="3144.5000000000005"/>
  </r>
  <r>
    <x v="0"/>
    <x v="2"/>
    <s v="June"/>
    <s v="June-2015"/>
    <s v="NA"/>
    <n v="1617.8999999999999"/>
    <n v="381.5"/>
    <n v="241.8"/>
    <n v="233.4"/>
    <n v="122.6"/>
    <n v="114.2"/>
    <n v="117.9"/>
    <n v="122"/>
    <n v="128.19999999999999"/>
    <n v="117.9"/>
    <n v="124.1"/>
    <n v="3197.3999999999996"/>
  </r>
  <r>
    <x v="1"/>
    <x v="2"/>
    <s v="June"/>
    <s v="June-2015"/>
    <s v="NA"/>
    <n v="1636.6"/>
    <n v="363.1"/>
    <n v="238.2"/>
    <n v="227.9"/>
    <n v="115.1"/>
    <n v="111.7"/>
    <n v="116.2"/>
    <n v="123.8"/>
    <n v="132.1"/>
    <n v="116"/>
    <n v="121.7"/>
    <n v="3180.6999999999994"/>
  </r>
  <r>
    <x v="2"/>
    <x v="2"/>
    <s v="June"/>
    <s v="June-2015"/>
    <s v="NA"/>
    <n v="1623.5"/>
    <n v="374.1"/>
    <n v="240.1"/>
    <n v="231.3"/>
    <n v="119.8"/>
    <n v="112.9"/>
    <n v="116.9"/>
    <n v="123.1"/>
    <n v="129.19999999999999"/>
    <n v="117"/>
    <n v="123"/>
    <n v="3187.9"/>
  </r>
  <r>
    <x v="0"/>
    <x v="2"/>
    <s v="July"/>
    <s v="July-2015"/>
    <s v="NA"/>
    <n v="1625.3"/>
    <n v="382.6"/>
    <n v="242.9"/>
    <n v="233.5"/>
    <n v="123"/>
    <n v="114.1"/>
    <n v="118"/>
    <n v="122.9"/>
    <n v="129.4"/>
    <n v="118.1"/>
    <n v="124.7"/>
    <n v="3209.8"/>
  </r>
  <r>
    <x v="1"/>
    <x v="2"/>
    <s v="July"/>
    <s v="July-2015"/>
    <s v="NA"/>
    <n v="1642.8999999999999"/>
    <n v="364.1"/>
    <n v="239.4"/>
    <n v="227.7"/>
    <n v="115.3"/>
    <n v="111.5"/>
    <n v="116.6"/>
    <n v="125.4"/>
    <n v="133.1"/>
    <n v="116.3"/>
    <n v="122.4"/>
    <n v="3192.3"/>
  </r>
  <r>
    <x v="2"/>
    <x v="2"/>
    <s v="July"/>
    <s v="July-2015"/>
    <s v="NA"/>
    <n v="1630.6000000000001"/>
    <n v="375.1"/>
    <n v="241.2"/>
    <n v="231.3"/>
    <n v="120.1"/>
    <n v="112.7"/>
    <n v="117.2"/>
    <n v="124.4"/>
    <n v="130.4"/>
    <n v="117.2"/>
    <n v="123.6"/>
    <n v="3200.2"/>
  </r>
  <r>
    <x v="0"/>
    <x v="2"/>
    <s v="August"/>
    <s v="August-2015"/>
    <s v="NA"/>
    <n v="1646.6"/>
    <n v="384.8"/>
    <n v="244.60000000000002"/>
    <n v="233.6"/>
    <n v="123.8"/>
    <n v="113.6"/>
    <n v="118.5"/>
    <n v="123.6"/>
    <n v="130.1"/>
    <n v="118.2"/>
    <n v="126.1"/>
    <n v="3237.3999999999996"/>
  </r>
  <r>
    <x v="1"/>
    <x v="2"/>
    <s v="August"/>
    <s v="August-2015"/>
    <s v="NA"/>
    <n v="1658.8999999999999"/>
    <n v="364.8"/>
    <n v="240.9"/>
    <n v="228.6"/>
    <n v="115.3"/>
    <n v="109.9"/>
    <n v="117.2"/>
    <n v="126.2"/>
    <n v="134.19999999999999"/>
    <n v="116.2"/>
    <n v="123.2"/>
    <n v="3212.1999999999994"/>
  </r>
  <r>
    <x v="2"/>
    <x v="2"/>
    <s v="August"/>
    <s v="August-2015"/>
    <s v="NA"/>
    <n v="1649.6"/>
    <n v="376.70000000000005"/>
    <n v="242.9"/>
    <n v="231.7"/>
    <n v="120.6"/>
    <n v="111.7"/>
    <n v="117.8"/>
    <n v="125.1"/>
    <n v="131.19999999999999"/>
    <n v="117.2"/>
    <n v="124.8"/>
    <n v="3224.4999999999991"/>
  </r>
  <r>
    <x v="0"/>
    <x v="2"/>
    <s v="September"/>
    <s v="September-2015"/>
    <s v="NA"/>
    <n v="1657.6000000000001"/>
    <n v="387.1"/>
    <n v="246.1"/>
    <n v="235.10000000000002"/>
    <n v="123.7"/>
    <n v="113.8"/>
    <n v="119.6"/>
    <n v="124.5"/>
    <n v="131"/>
    <n v="118.8"/>
    <n v="127"/>
    <n v="3257.3"/>
  </r>
  <r>
    <x v="1"/>
    <x v="2"/>
    <s v="September"/>
    <s v="September-2015"/>
    <s v="NA"/>
    <n v="1664.8"/>
    <n v="365.8"/>
    <n v="242"/>
    <n v="230"/>
    <n v="115.1"/>
    <n v="109.1"/>
    <n v="117.3"/>
    <n v="126.5"/>
    <n v="134.69999999999999"/>
    <n v="116.2"/>
    <n v="123.5"/>
    <n v="3221.4999999999995"/>
  </r>
  <r>
    <x v="2"/>
    <x v="2"/>
    <s v="September"/>
    <s v="September-2015"/>
    <s v="NA"/>
    <n v="1658.3000000000002"/>
    <n v="378.5"/>
    <n v="244.2"/>
    <n v="233.2"/>
    <n v="120.4"/>
    <n v="111.3"/>
    <n v="118.3"/>
    <n v="125.7"/>
    <n v="132"/>
    <n v="117.5"/>
    <n v="125.4"/>
    <n v="3239.4"/>
  </r>
  <r>
    <x v="0"/>
    <x v="2"/>
    <s v="October"/>
    <s v="October-2015"/>
    <s v="NA"/>
    <n v="1674.6"/>
    <n v="389"/>
    <n v="247.5"/>
    <n v="236.2"/>
    <n v="124.4"/>
    <n v="113.8"/>
    <n v="120.1"/>
    <n v="125.1"/>
    <n v="131.5"/>
    <n v="119.2"/>
    <n v="127.7"/>
    <n v="3281.3999999999996"/>
  </r>
  <r>
    <x v="1"/>
    <x v="2"/>
    <s v="October"/>
    <s v="October-2015"/>
    <s v="NA"/>
    <n v="1692.8000000000002"/>
    <n v="366.79999999999995"/>
    <n v="243.10000000000002"/>
    <n v="231.2"/>
    <n v="114.9"/>
    <n v="109.3"/>
    <n v="117.7"/>
    <n v="126.5"/>
    <n v="135.30000000000001"/>
    <n v="116.5"/>
    <n v="124.2"/>
    <n v="3254.1000000000004"/>
  </r>
  <r>
    <x v="2"/>
    <x v="2"/>
    <s v="October"/>
    <s v="October-2015"/>
    <s v="NA"/>
    <n v="1678.9999999999998"/>
    <n v="380.1"/>
    <n v="245.4"/>
    <n v="234.3"/>
    <n v="120.8"/>
    <n v="111.4"/>
    <n v="118.7"/>
    <n v="125.9"/>
    <n v="132.5"/>
    <n v="117.9"/>
    <n v="126.1"/>
    <n v="3266.0000000000005"/>
  </r>
  <r>
    <x v="0"/>
    <x v="2"/>
    <s v="November"/>
    <s v="November-2015"/>
    <s v="NA"/>
    <n v="1686.3"/>
    <n v="391.79999999999995"/>
    <n v="248.5"/>
    <n v="236.8"/>
    <n v="125.6"/>
    <n v="114"/>
    <n v="120.9"/>
    <n v="125.8"/>
    <n v="132.19999999999999"/>
    <n v="119.6"/>
    <n v="128.30000000000001"/>
    <n v="3301.5"/>
  </r>
  <r>
    <x v="1"/>
    <x v="2"/>
    <s v="November"/>
    <s v="November-2015"/>
    <s v="NA"/>
    <n v="1708.4999999999998"/>
    <n v="368.5"/>
    <n v="243.9"/>
    <n v="231.39999999999998"/>
    <n v="115.1"/>
    <n v="109.3"/>
    <n v="117.9"/>
    <n v="126.6"/>
    <n v="137.6"/>
    <n v="116.6"/>
    <n v="124.6"/>
    <n v="3275.4"/>
  </r>
  <r>
    <x v="2"/>
    <x v="2"/>
    <s v="November"/>
    <s v="November-2015"/>
    <s v="NA"/>
    <n v="1692.1"/>
    <n v="382.4"/>
    <n v="246.3"/>
    <n v="234.7"/>
    <n v="121.6"/>
    <n v="111.5"/>
    <n v="119.2"/>
    <n v="126.3"/>
    <n v="133.6"/>
    <n v="118.1"/>
    <n v="126.6"/>
    <n v="3285.7999999999997"/>
  </r>
  <r>
    <x v="0"/>
    <x v="2"/>
    <s v="December"/>
    <s v="December-2015"/>
    <s v="NA"/>
    <n v="1682.3000000000002"/>
    <n v="392.9"/>
    <n v="248.4"/>
    <n v="237.2"/>
    <n v="125.7"/>
    <n v="114"/>
    <n v="121.6"/>
    <n v="125.6"/>
    <n v="133.1"/>
    <n v="119.8"/>
    <n v="127.9"/>
    <n v="3300.6"/>
  </r>
  <r>
    <x v="1"/>
    <x v="2"/>
    <s v="December"/>
    <s v="December-2015"/>
    <s v="NA"/>
    <n v="1698.8"/>
    <n v="369.4"/>
    <n v="243.4"/>
    <n v="231.8"/>
    <n v="116"/>
    <n v="109.3"/>
    <n v="118.1"/>
    <n v="126.6"/>
    <n v="138.19999999999999"/>
    <n v="116.7"/>
    <n v="124"/>
    <n v="3268.2999999999997"/>
  </r>
  <r>
    <x v="2"/>
    <x v="2"/>
    <s v="December"/>
    <s v="December-2015"/>
    <s v="NA"/>
    <n v="1686.1000000000001"/>
    <n v="383.5"/>
    <n v="246"/>
    <n v="235.10000000000002"/>
    <n v="122"/>
    <n v="111.5"/>
    <n v="119.6"/>
    <n v="126.2"/>
    <n v="134.5"/>
    <n v="118.3"/>
    <n v="126.1"/>
    <n v="3282.8"/>
  </r>
  <r>
    <x v="0"/>
    <x v="3"/>
    <s v="January"/>
    <s v="January-2016"/>
    <s v="NA"/>
    <n v="1690.1000000000001"/>
    <n v="394.70000000000005"/>
    <n v="250"/>
    <n v="238.60000000000002"/>
    <n v="126.2"/>
    <n v="113.6"/>
    <n v="121.4"/>
    <n v="126.2"/>
    <n v="133.6"/>
    <n v="120.1"/>
    <n v="128.1"/>
    <n v="3314.4999999999995"/>
  </r>
  <r>
    <x v="1"/>
    <x v="3"/>
    <s v="January"/>
    <s v="January-2016"/>
    <s v="NA"/>
    <n v="1701.4"/>
    <n v="370.5"/>
    <n v="245"/>
    <n v="233.1"/>
    <n v="116.9"/>
    <n v="108.9"/>
    <n v="118.5"/>
    <n v="126.4"/>
    <n v="139.5"/>
    <n v="116.8"/>
    <n v="124.2"/>
    <n v="3277.0000000000005"/>
  </r>
  <r>
    <x v="2"/>
    <x v="3"/>
    <s v="January"/>
    <s v="January-2016"/>
    <s v="NA"/>
    <n v="1691.7"/>
    <n v="384.9"/>
    <n v="247.60000000000002"/>
    <n v="236.5"/>
    <n v="122.7"/>
    <n v="111.1"/>
    <n v="119.8"/>
    <n v="126.3"/>
    <n v="135.19999999999999"/>
    <n v="118.5"/>
    <n v="126.3"/>
    <n v="3294.2999999999997"/>
  </r>
  <r>
    <x v="0"/>
    <x v="3"/>
    <s v="February"/>
    <s v="February-2016"/>
    <s v="NA"/>
    <n v="1682.6"/>
    <n v="397.1"/>
    <n v="251.5"/>
    <n v="241.1"/>
    <n v="127.5"/>
    <n v="113.9"/>
    <n v="122.3"/>
    <n v="127.1"/>
    <n v="134.4"/>
    <n v="120.9"/>
    <n v="127.9"/>
    <n v="3318.4"/>
  </r>
  <r>
    <x v="1"/>
    <x v="3"/>
    <s v="February"/>
    <s v="February-2016"/>
    <s v="NA"/>
    <n v="1676.1"/>
    <n v="371.6"/>
    <n v="246.2"/>
    <n v="235.7"/>
    <n v="116"/>
    <n v="109.1"/>
    <n v="118.8"/>
    <n v="126.3"/>
    <n v="140"/>
    <n v="117.2"/>
    <n v="123.8"/>
    <n v="3256.9999999999995"/>
  </r>
  <r>
    <x v="2"/>
    <x v="3"/>
    <s v="February"/>
    <s v="February-2016"/>
    <s v="NA"/>
    <n v="1678.1"/>
    <n v="386.9"/>
    <n v="249"/>
    <n v="239.1"/>
    <n v="123.1"/>
    <n v="111.4"/>
    <n v="120.3"/>
    <n v="126.6"/>
    <n v="135.9"/>
    <n v="119.1"/>
    <n v="126"/>
    <n v="3289.5"/>
  </r>
  <r>
    <x v="0"/>
    <x v="3"/>
    <s v="March"/>
    <s v="March-2016"/>
    <s v="NA"/>
    <n v="1682.7000000000003"/>
    <n v="398.40000000000003"/>
    <n v="252.60000000000002"/>
    <n v="242.2"/>
    <n v="127"/>
    <n v="113.6"/>
    <n v="122.5"/>
    <n v="127.5"/>
    <n v="135"/>
    <n v="121.1"/>
    <n v="128"/>
    <n v="3322.6"/>
  </r>
  <r>
    <x v="1"/>
    <x v="3"/>
    <s v="March"/>
    <s v="March-2016"/>
    <s v="NA"/>
    <n v="1667.6000000000001"/>
    <n v="372.2"/>
    <n v="247.2"/>
    <n v="236.8"/>
    <n v="114.8"/>
    <n v="108.5"/>
    <n v="119.1"/>
    <n v="126.4"/>
    <n v="140.6"/>
    <n v="117.3"/>
    <n v="123.8"/>
    <n v="3250.5000000000005"/>
  </r>
  <r>
    <x v="2"/>
    <x v="3"/>
    <s v="March"/>
    <s v="March-2016"/>
    <s v="NA"/>
    <n v="1675.2"/>
    <n v="387.9"/>
    <n v="250"/>
    <n v="240.2"/>
    <n v="122.4"/>
    <n v="110.9"/>
    <n v="120.6"/>
    <n v="126.9"/>
    <n v="136.5"/>
    <n v="119.3"/>
    <n v="126"/>
    <n v="3289.9"/>
  </r>
  <r>
    <x v="0"/>
    <x v="3"/>
    <s v="April"/>
    <s v="April-2016"/>
    <s v="NA"/>
    <n v="1701.6000000000004"/>
    <n v="400"/>
    <n v="253.6"/>
    <n v="243.60000000000002"/>
    <n v="127"/>
    <n v="114.4"/>
    <n v="123.2"/>
    <n v="127.9"/>
    <n v="135.5"/>
    <n v="121.7"/>
    <n v="129"/>
    <n v="3348.5"/>
  </r>
  <r>
    <x v="1"/>
    <x v="3"/>
    <s v="April"/>
    <s v="April-2016"/>
    <s v="NA"/>
    <n v="1706.3"/>
    <n v="373.1"/>
    <n v="248.39999999999998"/>
    <n v="237.6"/>
    <n v="114.6"/>
    <n v="110"/>
    <n v="119.5"/>
    <n v="127.6"/>
    <n v="141.5"/>
    <n v="118.2"/>
    <n v="125.3"/>
    <n v="3296.7999999999997"/>
  </r>
  <r>
    <x v="2"/>
    <x v="3"/>
    <s v="April"/>
    <s v="April-2016"/>
    <s v="NA"/>
    <n v="1701.3"/>
    <n v="389.20000000000005"/>
    <n v="251.1"/>
    <n v="241.3"/>
    <n v="122.3"/>
    <n v="112.1"/>
    <n v="121.1"/>
    <n v="127.7"/>
    <n v="137.1"/>
    <n v="120"/>
    <n v="127.3"/>
    <n v="3323.2"/>
  </r>
  <r>
    <x v="0"/>
    <x v="3"/>
    <s v="May"/>
    <s v="May-2016"/>
    <s v="NA"/>
    <n v="1723.6999999999998"/>
    <n v="401.3"/>
    <n v="254.5"/>
    <n v="245.5"/>
    <n v="127.4"/>
    <n v="115.1"/>
    <n v="123.6"/>
    <n v="129.1"/>
    <n v="136"/>
    <n v="122.5"/>
    <n v="130.30000000000001"/>
    <n v="3378.7"/>
  </r>
  <r>
    <x v="1"/>
    <x v="3"/>
    <s v="May"/>
    <s v="May-2016"/>
    <s v="NA"/>
    <n v="1746.7999999999997"/>
    <n v="374.1"/>
    <n v="249.2"/>
    <n v="238.8"/>
    <n v="115"/>
    <n v="110.7"/>
    <n v="119.8"/>
    <n v="128"/>
    <n v="142.19999999999999"/>
    <n v="118.7"/>
    <n v="126.6"/>
    <n v="3343.2999999999993"/>
  </r>
  <r>
    <x v="2"/>
    <x v="3"/>
    <s v="May"/>
    <s v="May-2016"/>
    <s v="NA"/>
    <n v="1730.4"/>
    <n v="390.4"/>
    <n v="252"/>
    <n v="242.9"/>
    <n v="122.7"/>
    <n v="112.8"/>
    <n v="121.5"/>
    <n v="128.5"/>
    <n v="137.69999999999999"/>
    <n v="120.7"/>
    <n v="128.6"/>
    <n v="3359.6"/>
  </r>
  <r>
    <x v="0"/>
    <x v="3"/>
    <s v="June"/>
    <s v="June-2016"/>
    <s v="NA"/>
    <n v="1748.6"/>
    <n v="403.5"/>
    <n v="254.8"/>
    <n v="246.10000000000002"/>
    <n v="128"/>
    <n v="116.3"/>
    <n v="124.1"/>
    <n v="130.19999999999999"/>
    <n v="137.19999999999999"/>
    <n v="123.3"/>
    <n v="131.9"/>
    <n v="3412.1"/>
  </r>
  <r>
    <x v="1"/>
    <x v="3"/>
    <s v="June"/>
    <s v="June-2016"/>
    <s v="NA"/>
    <n v="1787.0000000000002"/>
    <n v="375.29999999999995"/>
    <n v="248.7"/>
    <n v="239.39999999999998"/>
    <n v="115.5"/>
    <n v="112.3"/>
    <n v="119.9"/>
    <n v="129.30000000000001"/>
    <n v="142.69999999999999"/>
    <n v="119.6"/>
    <n v="128.1"/>
    <n v="3389.7000000000003"/>
  </r>
  <r>
    <x v="2"/>
    <x v="3"/>
    <s v="June"/>
    <s v="June-2016"/>
    <s v="NA"/>
    <n v="1760.6"/>
    <n v="392.1"/>
    <n v="251.9"/>
    <n v="243.5"/>
    <n v="123.3"/>
    <n v="114.2"/>
    <n v="121.7"/>
    <n v="129.69999999999999"/>
    <n v="138.69999999999999"/>
    <n v="121.5"/>
    <n v="130.1"/>
    <n v="3397.1999999999994"/>
  </r>
  <r>
    <x v="0"/>
    <x v="3"/>
    <s v="July"/>
    <s v="July-2016"/>
    <s v="NA"/>
    <n v="1770.2999999999997"/>
    <n v="405.9"/>
    <n v="256.39999999999998"/>
    <n v="247.60000000000002"/>
    <n v="128.19999999999999"/>
    <n v="116.4"/>
    <n v="125.2"/>
    <n v="130.80000000000001"/>
    <n v="138"/>
    <n v="123.8"/>
    <n v="133"/>
    <n v="3442.6"/>
  </r>
  <r>
    <x v="1"/>
    <x v="3"/>
    <s v="July"/>
    <s v="July-2016"/>
    <s v="NA"/>
    <n v="1811.5000000000002"/>
    <n v="375.9"/>
    <n v="249.9"/>
    <n v="240.9"/>
    <n v="115.5"/>
    <n v="111.7"/>
    <n v="120.3"/>
    <n v="130.80000000000001"/>
    <n v="142.9"/>
    <n v="119.9"/>
    <n v="129"/>
    <n v="3419.3000000000006"/>
  </r>
  <r>
    <x v="2"/>
    <x v="3"/>
    <s v="July"/>
    <s v="July-2016"/>
    <s v="NA"/>
    <n v="1783.5"/>
    <n v="393.8"/>
    <n v="253.3"/>
    <n v="245"/>
    <n v="123.4"/>
    <n v="113.9"/>
    <n v="122.4"/>
    <n v="130.80000000000001"/>
    <n v="139.30000000000001"/>
    <n v="121.9"/>
    <n v="131.1"/>
    <n v="3427.3000000000011"/>
  </r>
  <r>
    <x v="0"/>
    <x v="3"/>
    <s v="August"/>
    <s v="August-2016"/>
    <s v="NA"/>
    <n v="1777.4999999999998"/>
    <n v="407.9"/>
    <n v="257.89999999999998"/>
    <n v="249"/>
    <n v="129.1"/>
    <n v="116"/>
    <n v="125.5"/>
    <n v="131.9"/>
    <n v="138.9"/>
    <n v="124.2"/>
    <n v="133.5"/>
    <n v="3457.8999999999996"/>
  </r>
  <r>
    <x v="1"/>
    <x v="3"/>
    <s v="August"/>
    <s v="August-2016"/>
    <s v="NA"/>
    <n v="1783.9999999999995"/>
    <n v="377"/>
    <n v="251.2"/>
    <n v="242.10000000000002"/>
    <n v="114.7"/>
    <n v="110.4"/>
    <n v="120.6"/>
    <n v="131.5"/>
    <n v="143.6"/>
    <n v="119.9"/>
    <n v="128.4"/>
    <n v="3394.9999999999991"/>
  </r>
  <r>
    <x v="2"/>
    <x v="3"/>
    <s v="August"/>
    <s v="August-2016"/>
    <s v="NA"/>
    <n v="1777.9"/>
    <n v="395.49999999999994"/>
    <n v="254.7"/>
    <n v="246.3"/>
    <n v="123.6"/>
    <n v="113.1"/>
    <n v="122.7"/>
    <n v="131.69999999999999"/>
    <n v="140.19999999999999"/>
    <n v="122.1"/>
    <n v="131.1"/>
    <n v="3427.7999999999993"/>
  </r>
  <r>
    <x v="0"/>
    <x v="3"/>
    <s v="September"/>
    <s v="September-2016"/>
    <s v="NA"/>
    <n v="1770.7"/>
    <n v="409.8"/>
    <n v="259"/>
    <n v="250.6"/>
    <n v="129.69999999999999"/>
    <n v="117"/>
    <n v="125.7"/>
    <n v="132.19999999999999"/>
    <n v="139.9"/>
    <n v="124.9"/>
    <n v="133.4"/>
    <n v="3459.4999999999995"/>
  </r>
  <r>
    <x v="1"/>
    <x v="3"/>
    <s v="September"/>
    <s v="September-2016"/>
    <s v="NA"/>
    <n v="1756.3999999999996"/>
    <n v="378"/>
    <n v="252.2"/>
    <n v="242.60000000000002"/>
    <n v="114.8"/>
    <n v="111.8"/>
    <n v="120.8"/>
    <n v="131.6"/>
    <n v="143.9"/>
    <n v="120.5"/>
    <n v="128"/>
    <n v="3372.6"/>
  </r>
  <r>
    <x v="2"/>
    <x v="3"/>
    <s v="September"/>
    <s v="September-2016"/>
    <s v="NA"/>
    <n v="1763.6999999999998"/>
    <n v="397"/>
    <n v="255.8"/>
    <n v="247.5"/>
    <n v="124.1"/>
    <n v="114.3"/>
    <n v="122.9"/>
    <n v="131.80000000000001"/>
    <n v="141"/>
    <n v="122.8"/>
    <n v="130.9"/>
    <n v="3420.9000000000005"/>
  </r>
  <r>
    <x v="0"/>
    <x v="3"/>
    <s v="October"/>
    <s v="October-2016"/>
    <s v="NA"/>
    <n v="1771.8000000000002"/>
    <n v="412.7"/>
    <n v="260.5"/>
    <n v="251.7"/>
    <n v="129.80000000000001"/>
    <n v="117.8"/>
    <n v="126.5"/>
    <n v="133"/>
    <n v="140.9"/>
    <n v="125.7"/>
    <n v="133.80000000000001"/>
    <n v="3470.4"/>
  </r>
  <r>
    <x v="1"/>
    <x v="3"/>
    <s v="October"/>
    <s v="October-2016"/>
    <s v="NA"/>
    <n v="1762.8999999999999"/>
    <n v="379"/>
    <n v="253.2"/>
    <n v="242.6"/>
    <n v="115.2"/>
    <n v="112.8"/>
    <n v="121.2"/>
    <n v="131.9"/>
    <n v="144.30000000000001"/>
    <n v="120.9"/>
    <n v="128.6"/>
    <n v="3383.9999999999995"/>
  </r>
  <r>
    <x v="2"/>
    <x v="3"/>
    <s v="October"/>
    <s v="October-2016"/>
    <s v="NA"/>
    <n v="1766.7999999999995"/>
    <n v="399.1"/>
    <n v="257.10000000000002"/>
    <n v="248.2"/>
    <n v="124.3"/>
    <n v="115.2"/>
    <n v="123.5"/>
    <n v="132.4"/>
    <n v="141.80000000000001"/>
    <n v="123.4"/>
    <n v="131.4"/>
    <n v="3431.7999999999997"/>
  </r>
  <r>
    <x v="0"/>
    <x v="3"/>
    <s v="November"/>
    <s v="November-2016"/>
    <s v="NA"/>
    <n v="1764.6"/>
    <n v="413.59999999999997"/>
    <n v="261.2"/>
    <n v="252.6"/>
    <n v="130.30000000000001"/>
    <n v="118.2"/>
    <n v="126.9"/>
    <n v="133.69999999999999"/>
    <n v="141.19999999999999"/>
    <n v="126.1"/>
    <n v="133.6"/>
    <n v="3468.3999999999992"/>
  </r>
  <r>
    <x v="1"/>
    <x v="3"/>
    <s v="November"/>
    <s v="November-2016"/>
    <s v="NA"/>
    <n v="1755.2"/>
    <n v="380.2"/>
    <n v="253.8"/>
    <n v="243.39999999999998"/>
    <n v="116.2"/>
    <n v="113.4"/>
    <n v="121.7"/>
    <n v="132.1"/>
    <n v="144.30000000000001"/>
    <n v="121.3"/>
    <n v="128.5"/>
    <n v="3381.6000000000004"/>
  </r>
  <r>
    <x v="2"/>
    <x v="3"/>
    <s v="November"/>
    <s v="November-2016"/>
    <s v="NA"/>
    <n v="1759.8"/>
    <n v="400.1"/>
    <n v="257.7"/>
    <n v="249"/>
    <n v="125"/>
    <n v="115.7"/>
    <n v="124"/>
    <n v="132.80000000000001"/>
    <n v="142"/>
    <n v="123.8"/>
    <n v="131.19999999999999"/>
    <n v="3429.9"/>
  </r>
  <r>
    <x v="0"/>
    <x v="3"/>
    <s v="December"/>
    <s v="December-2016"/>
    <s v="NA"/>
    <n v="1749.1"/>
    <n v="415.3"/>
    <n v="261.39999999999998"/>
    <n v="251.6"/>
    <n v="132"/>
    <n v="118.6"/>
    <n v="127.3"/>
    <n v="134.19999999999999"/>
    <n v="142.4"/>
    <n v="126.3"/>
    <n v="132.80000000000001"/>
    <n v="3458.2000000000003"/>
  </r>
  <r>
    <x v="1"/>
    <x v="3"/>
    <s v="December"/>
    <s v="December-2016"/>
    <s v="NA"/>
    <n v="1729.8"/>
    <n v="381"/>
    <n v="253.5"/>
    <n v="242.2"/>
    <n v="117.8"/>
    <n v="113.7"/>
    <n v="121.8"/>
    <n v="132.30000000000001"/>
    <n v="145"/>
    <n v="121.4"/>
    <n v="127.6"/>
    <n v="3358.5000000000005"/>
  </r>
  <r>
    <x v="2"/>
    <x v="3"/>
    <s v="December"/>
    <s v="December-2016"/>
    <s v="NA"/>
    <n v="1740.7"/>
    <n v="401.5"/>
    <n v="257.7"/>
    <n v="248"/>
    <n v="126.6"/>
    <n v="116"/>
    <n v="124.2"/>
    <n v="133.1"/>
    <n v="143.1"/>
    <n v="123.9"/>
    <n v="130.4"/>
    <n v="3414.7999999999993"/>
  </r>
  <r>
    <x v="0"/>
    <x v="4"/>
    <s v="January"/>
    <s v="January-2017"/>
    <s v="NA"/>
    <n v="1737.3000000000002"/>
    <n v="416.5"/>
    <n v="262.79999999999995"/>
    <n v="252.2"/>
    <n v="132.1"/>
    <n v="119.1"/>
    <n v="127"/>
    <n v="134.6"/>
    <n v="143.1"/>
    <n v="126.6"/>
    <n v="132.4"/>
    <n v="3451.2999999999997"/>
  </r>
  <r>
    <x v="1"/>
    <x v="4"/>
    <s v="January"/>
    <s v="January-2017"/>
    <s v="NA"/>
    <n v="1713.2"/>
    <n v="381.5"/>
    <n v="254.7"/>
    <n v="243.5"/>
    <n v="118"/>
    <n v="115.2"/>
    <n v="122"/>
    <n v="132.4"/>
    <n v="145.6"/>
    <n v="122.1"/>
    <n v="127.8"/>
    <n v="3348.1999999999994"/>
  </r>
  <r>
    <x v="2"/>
    <x v="4"/>
    <s v="January"/>
    <s v="January-2017"/>
    <s v="NA"/>
    <n v="1727.2999999999995"/>
    <n v="402.4"/>
    <n v="259"/>
    <n v="248.8"/>
    <n v="126.8"/>
    <n v="117"/>
    <n v="124.2"/>
    <n v="133.30000000000001"/>
    <n v="143.80000000000001"/>
    <n v="124.4"/>
    <n v="130.30000000000001"/>
    <n v="3407"/>
  </r>
  <r>
    <x v="0"/>
    <x v="4"/>
    <s v="February"/>
    <s v="February-2017"/>
    <s v="NA"/>
    <n v="1734.5000000000002"/>
    <n v="416.90000000000003"/>
    <n v="264.10000000000002"/>
    <n v="253.3"/>
    <n v="133.19999999999999"/>
    <n v="119.5"/>
    <n v="127.7"/>
    <n v="134.9"/>
    <n v="143.69999999999999"/>
    <n v="127"/>
    <n v="132.6"/>
    <n v="3454.7999999999997"/>
  </r>
  <r>
    <x v="1"/>
    <x v="4"/>
    <s v="February"/>
    <s v="February-2017"/>
    <s v="NA"/>
    <n v="1705.3000000000002"/>
    <n v="382.3"/>
    <n v="255.8"/>
    <n v="244.60000000000002"/>
    <n v="119.2"/>
    <n v="115.5"/>
    <n v="122.2"/>
    <n v="132.4"/>
    <n v="146.30000000000001"/>
    <n v="122.4"/>
    <n v="128.19999999999999"/>
    <n v="3346.0000000000005"/>
  </r>
  <r>
    <x v="2"/>
    <x v="4"/>
    <s v="February"/>
    <s v="February-2017"/>
    <s v="NA"/>
    <n v="1722.3000000000002"/>
    <n v="403"/>
    <n v="260.2"/>
    <n v="250"/>
    <n v="127.9"/>
    <n v="117.4"/>
    <n v="124.6"/>
    <n v="133.4"/>
    <n v="144.4"/>
    <n v="124.8"/>
    <n v="130.6"/>
    <n v="3408.0000000000005"/>
  </r>
  <r>
    <x v="0"/>
    <x v="4"/>
    <s v="March"/>
    <s v="March-2017"/>
    <s v="NA"/>
    <n v="1728.5000000000002"/>
    <n v="418.59999999999997"/>
    <n v="265.2"/>
    <n v="253.89999999999998"/>
    <n v="134.19999999999999"/>
    <n v="119.8"/>
    <n v="128.30000000000001"/>
    <n v="135.19999999999999"/>
    <n v="144.19999999999999"/>
    <n v="127.4"/>
    <n v="132.80000000000001"/>
    <n v="3455.3"/>
  </r>
  <r>
    <x v="1"/>
    <x v="4"/>
    <s v="March"/>
    <s v="March-2017"/>
    <s v="NA"/>
    <n v="1705.6999999999998"/>
    <n v="383.20000000000005"/>
    <n v="256.7"/>
    <n v="244.8"/>
    <n v="120.8"/>
    <n v="115.6"/>
    <n v="122.4"/>
    <n v="132.80000000000001"/>
    <n v="147.5"/>
    <n v="122.6"/>
    <n v="128.69999999999999"/>
    <n v="3352.1"/>
  </r>
  <r>
    <x v="2"/>
    <x v="4"/>
    <s v="March"/>
    <s v="March-2017"/>
    <s v="NA"/>
    <n v="1718.9"/>
    <n v="404.29999999999995"/>
    <n v="261.2"/>
    <n v="250.39999999999998"/>
    <n v="129.1"/>
    <n v="117.6"/>
    <n v="125"/>
    <n v="133.80000000000001"/>
    <n v="145.1"/>
    <n v="125.1"/>
    <n v="130.9"/>
    <n v="3410.4999999999995"/>
  </r>
  <r>
    <x v="0"/>
    <x v="4"/>
    <s v="April"/>
    <s v="April-2017"/>
    <s v="NA"/>
    <n v="1726.3"/>
    <n v="420.80000000000007"/>
    <n v="266"/>
    <n v="254.7"/>
    <n v="135"/>
    <n v="119.2"/>
    <n v="128.30000000000001"/>
    <n v="135.69999999999999"/>
    <n v="144.4"/>
    <n v="127.5"/>
    <n v="132.9"/>
    <n v="3457.8999999999996"/>
  </r>
  <r>
    <x v="1"/>
    <x v="4"/>
    <s v="April"/>
    <s v="April-2017"/>
    <s v="NA"/>
    <n v="1708.1"/>
    <n v="384.2"/>
    <n v="257.7"/>
    <n v="245.60000000000002"/>
    <n v="121.4"/>
    <n v="114.3"/>
    <n v="122.6"/>
    <n v="133.6"/>
    <n v="148"/>
    <n v="122.5"/>
    <n v="129.1"/>
    <n v="3357.9999999999995"/>
  </r>
  <r>
    <x v="2"/>
    <x v="4"/>
    <s v="April"/>
    <s v="April-2017"/>
    <s v="NA"/>
    <n v="1718.4"/>
    <n v="406.1"/>
    <n v="262.10000000000002"/>
    <n v="251.2"/>
    <n v="129.80000000000001"/>
    <n v="116.6"/>
    <n v="125.1"/>
    <n v="134.5"/>
    <n v="145.4"/>
    <n v="125.1"/>
    <n v="131.1"/>
    <n v="3414.2999999999997"/>
  </r>
  <r>
    <x v="0"/>
    <x v="4"/>
    <s v="May"/>
    <s v="May-2017"/>
    <s v="NA"/>
    <n v="1727.4999999999995"/>
    <n v="421.6"/>
    <n v="267"/>
    <n v="255.10000000000002"/>
    <n v="135"/>
    <n v="119.4"/>
    <n v="129.4"/>
    <n v="136.30000000000001"/>
    <n v="145.5"/>
    <n v="127.9"/>
    <n v="133.30000000000001"/>
    <n v="3464.7"/>
  </r>
  <r>
    <x v="1"/>
    <x v="4"/>
    <s v="May"/>
    <s v="May-2017"/>
    <s v="NA"/>
    <n v="1709.6"/>
    <n v="384.9"/>
    <n v="258.60000000000002"/>
    <n v="245.6"/>
    <n v="120.1"/>
    <n v="114.3"/>
    <n v="122.8"/>
    <n v="133.80000000000001"/>
    <n v="148.30000000000001"/>
    <n v="122.6"/>
    <n v="129.30000000000001"/>
    <n v="3360.6000000000004"/>
  </r>
  <r>
    <x v="2"/>
    <x v="4"/>
    <s v="May"/>
    <s v="May-2017"/>
    <s v="NA"/>
    <n v="1719.6000000000001"/>
    <n v="406.8"/>
    <n v="263"/>
    <n v="251.4"/>
    <n v="129.4"/>
    <n v="116.7"/>
    <n v="125.7"/>
    <n v="134.80000000000001"/>
    <n v="146.19999999999999"/>
    <n v="125.3"/>
    <n v="131.4"/>
    <n v="3418.9"/>
  </r>
  <r>
    <x v="0"/>
    <x v="4"/>
    <s v="June"/>
    <s v="June-2017"/>
    <s v="NA"/>
    <n v="1738.8000000000002"/>
    <n v="423.09999999999997"/>
    <n v="266.60000000000002"/>
    <n v="255.4"/>
    <n v="134.80000000000001"/>
    <n v="119.4"/>
    <n v="129.80000000000001"/>
    <n v="136.9"/>
    <n v="145.80000000000001"/>
    <n v="128.1"/>
    <n v="133.9"/>
    <n v="3478.7000000000007"/>
  </r>
  <r>
    <x v="1"/>
    <x v="4"/>
    <s v="June"/>
    <s v="June-2017"/>
    <s v="NA"/>
    <n v="1731.0000000000002"/>
    <n v="384.9"/>
    <n v="258.2"/>
    <n v="246.3"/>
    <n v="119"/>
    <n v="113.9"/>
    <n v="122.9"/>
    <n v="134.30000000000001"/>
    <n v="148.6"/>
    <n v="122.7"/>
    <n v="129.9"/>
    <n v="3381.8"/>
  </r>
  <r>
    <x v="2"/>
    <x v="4"/>
    <s v="June"/>
    <s v="June-2017"/>
    <s v="NA"/>
    <n v="1734.7"/>
    <n v="407.7"/>
    <n v="262.60000000000002"/>
    <n v="251.9"/>
    <n v="128.80000000000001"/>
    <n v="116.5"/>
    <n v="125.9"/>
    <n v="135.4"/>
    <n v="146.5"/>
    <n v="125.5"/>
    <n v="132"/>
    <n v="3435.5000000000005"/>
  </r>
  <r>
    <x v="0"/>
    <x v="4"/>
    <s v="July"/>
    <s v="July-2017"/>
    <s v="NA"/>
    <n v="1772.9"/>
    <n v="425.9"/>
    <n v="268.7"/>
    <n v="256.5"/>
    <n v="135.30000000000001"/>
    <n v="119.1"/>
    <n v="130.6"/>
    <n v="138.6"/>
    <n v="147.4"/>
    <n v="128.6"/>
    <n v="136.19999999999999"/>
    <n v="3523.6"/>
  </r>
  <r>
    <x v="1"/>
    <x v="4"/>
    <s v="July"/>
    <s v="July-2017"/>
    <s v="NA"/>
    <n v="1768.1"/>
    <n v="385.70000000000005"/>
    <n v="259.8"/>
    <n v="247.4"/>
    <n v="119.7"/>
    <n v="113.2"/>
    <n v="123.5"/>
    <n v="135.5"/>
    <n v="150.5"/>
    <n v="123"/>
    <n v="131.80000000000001"/>
    <n v="3426.4"/>
  </r>
  <r>
    <x v="2"/>
    <x v="4"/>
    <s v="July"/>
    <s v="July-2017"/>
    <s v="NA"/>
    <n v="1769.3999999999999"/>
    <n v="409.7"/>
    <n v="264.5"/>
    <n v="253"/>
    <n v="129.4"/>
    <n v="116"/>
    <n v="126.6"/>
    <n v="136.80000000000001"/>
    <n v="148.19999999999999"/>
    <n v="125.9"/>
    <n v="134.19999999999999"/>
    <n v="3479.5"/>
  </r>
  <r>
    <x v="0"/>
    <x v="4"/>
    <s v="August"/>
    <s v="August-2017"/>
    <s v="NA"/>
    <n v="1792.4999999999998"/>
    <n v="429"/>
    <n v="271.70000000000005"/>
    <n v="258.39999999999998"/>
    <n v="136.4"/>
    <n v="120.3"/>
    <n v="131.5"/>
    <n v="140.19999999999999"/>
    <n v="149"/>
    <n v="129.69999999999999"/>
    <n v="137.80000000000001"/>
    <n v="3558.7"/>
  </r>
  <r>
    <x v="1"/>
    <x v="4"/>
    <s v="August"/>
    <s v="August-2017"/>
    <s v="NA"/>
    <n v="1772.9999999999998"/>
    <n v="388.4"/>
    <n v="262.10000000000002"/>
    <n v="249"/>
    <n v="118.9"/>
    <n v="114.6"/>
    <n v="124.1"/>
    <n v="135.69999999999999"/>
    <n v="152.1"/>
    <n v="123.8"/>
    <n v="132.69999999999999"/>
    <n v="3441.6999999999994"/>
  </r>
  <r>
    <x v="2"/>
    <x v="4"/>
    <s v="August"/>
    <s v="August-2017"/>
    <s v="NA"/>
    <n v="1783.8"/>
    <n v="412.6"/>
    <n v="267.20000000000005"/>
    <n v="254.7"/>
    <n v="129.80000000000001"/>
    <n v="117.3"/>
    <n v="127.3"/>
    <n v="137.6"/>
    <n v="149.80000000000001"/>
    <n v="126.8"/>
    <n v="135.4"/>
    <n v="3506.900000000001"/>
  </r>
  <r>
    <x v="0"/>
    <x v="4"/>
    <s v="September"/>
    <s v="September-2017"/>
    <s v="NA"/>
    <n v="1784.3"/>
    <n v="430.99999999999994"/>
    <n v="273.60000000000002"/>
    <n v="260.10000000000002"/>
    <n v="137.4"/>
    <n v="121.2"/>
    <n v="132.30000000000001"/>
    <n v="139.6"/>
    <n v="149.80000000000001"/>
    <n v="130.30000000000001"/>
    <n v="137.6"/>
    <n v="3559.6"/>
  </r>
  <r>
    <x v="1"/>
    <x v="4"/>
    <s v="September"/>
    <s v="September-2017"/>
    <s v="NA"/>
    <n v="1749.7"/>
    <n v="389.9"/>
    <n v="263.79999999999995"/>
    <n v="250.5"/>
    <n v="120.6"/>
    <n v="115.7"/>
    <n v="124.5"/>
    <n v="135.9"/>
    <n v="153.6"/>
    <n v="124.5"/>
    <n v="132.4"/>
    <n v="3428.6999999999994"/>
  </r>
  <r>
    <x v="2"/>
    <x v="4"/>
    <s v="September"/>
    <s v="September-2017"/>
    <s v="NA"/>
    <n v="1769.9999999999998"/>
    <n v="414.5"/>
    <n v="269"/>
    <n v="256.3"/>
    <n v="131"/>
    <n v="118.3"/>
    <n v="127.9"/>
    <n v="137.4"/>
    <n v="150.80000000000001"/>
    <n v="127.5"/>
    <n v="135.19999999999999"/>
    <n v="3502.7000000000007"/>
  </r>
  <r>
    <x v="0"/>
    <x v="4"/>
    <s v="October"/>
    <s v="October-2017"/>
    <s v="NA"/>
    <n v="1790.8999999999999"/>
    <n v="433.99999999999994"/>
    <n v="275.70000000000005"/>
    <n v="261.60000000000002"/>
    <n v="138.1"/>
    <n v="121"/>
    <n v="133"/>
    <n v="140.1"/>
    <n v="150.5"/>
    <n v="130.69999999999999"/>
    <n v="138.30000000000001"/>
    <n v="3575.599999999999"/>
  </r>
  <r>
    <x v="1"/>
    <x v="4"/>
    <s v="October"/>
    <s v="October-2017"/>
    <s v="NA"/>
    <n v="1765.6999999999998"/>
    <n v="391.5"/>
    <n v="265.60000000000002"/>
    <n v="251.2"/>
    <n v="122.6"/>
    <n v="115"/>
    <n v="124.8"/>
    <n v="136.30000000000001"/>
    <n v="154.6"/>
    <n v="124.5"/>
    <n v="133.5"/>
    <n v="3451.7999999999997"/>
  </r>
  <r>
    <x v="2"/>
    <x v="4"/>
    <s v="October"/>
    <s v="October-2017"/>
    <s v="NA"/>
    <n v="1779.6999999999998"/>
    <n v="416.90000000000003"/>
    <n v="270.89999999999998"/>
    <n v="257.5"/>
    <n v="132.19999999999999"/>
    <n v="117.8"/>
    <n v="128.4"/>
    <n v="137.9"/>
    <n v="151.6"/>
    <n v="127.7"/>
    <n v="136.1"/>
    <n v="3520.6"/>
  </r>
  <r>
    <x v="0"/>
    <x v="4"/>
    <s v="November"/>
    <s v="November-2017"/>
    <s v="NA"/>
    <n v="1817.7000000000003"/>
    <n v="437"/>
    <n v="278"/>
    <n v="263.89999999999998"/>
    <n v="141.1"/>
    <n v="121.6"/>
    <n v="133.69999999999999"/>
    <n v="141.5"/>
    <n v="152.1"/>
    <n v="131.69999999999999"/>
    <n v="140"/>
    <n v="3618.2999999999997"/>
  </r>
  <r>
    <x v="1"/>
    <x v="4"/>
    <s v="November"/>
    <s v="November-2017"/>
    <s v="NA"/>
    <n v="1796.7"/>
    <n v="393.9"/>
    <n v="267.39999999999998"/>
    <n v="252.3"/>
    <n v="125.7"/>
    <n v="115.3"/>
    <n v="125.1"/>
    <n v="136.6"/>
    <n v="156.19999999999999"/>
    <n v="124.9"/>
    <n v="134.80000000000001"/>
    <n v="3494.1"/>
  </r>
  <r>
    <x v="2"/>
    <x v="4"/>
    <s v="November"/>
    <s v="November-2017"/>
    <s v="NA"/>
    <n v="1808.2"/>
    <n v="419.6"/>
    <n v="273"/>
    <n v="259.39999999999998"/>
    <n v="135.30000000000001"/>
    <n v="118.3"/>
    <n v="128.9"/>
    <n v="138.6"/>
    <n v="153.19999999999999"/>
    <n v="128.4"/>
    <n v="137.6"/>
    <n v="3562.9000000000005"/>
  </r>
  <r>
    <x v="0"/>
    <x v="4"/>
    <s v="December"/>
    <s v="December-2017"/>
    <s v="NA"/>
    <n v="1813.6000000000001"/>
    <n v="437.09999999999997"/>
    <n v="278.60000000000002"/>
    <n v="263.89999999999998"/>
    <n v="142.6"/>
    <n v="122"/>
    <n v="133.4"/>
    <n v="141.1"/>
    <n v="153.19999999999999"/>
    <n v="131.9"/>
    <n v="139.80000000000001"/>
    <n v="3617.4"/>
  </r>
  <r>
    <x v="1"/>
    <x v="4"/>
    <s v="December"/>
    <s v="December-2017"/>
    <s v="NA"/>
    <n v="1767.5"/>
    <n v="395.2"/>
    <n v="268.39999999999998"/>
    <n v="252.79999999999998"/>
    <n v="126.8"/>
    <n v="115.3"/>
    <n v="125.6"/>
    <n v="136.69999999999999"/>
    <n v="157"/>
    <n v="125.1"/>
    <n v="134.1"/>
    <n v="3470.4"/>
  </r>
  <r>
    <x v="2"/>
    <x v="4"/>
    <s v="December"/>
    <s v="December-2017"/>
    <s v="NA"/>
    <n v="1794.9999999999998"/>
    <n v="420.2"/>
    <n v="273.79999999999995"/>
    <n v="259.60000000000002"/>
    <n v="136.6"/>
    <n v="118.5"/>
    <n v="129"/>
    <n v="138.5"/>
    <n v="154.19999999999999"/>
    <n v="128.6"/>
    <n v="137.19999999999999"/>
    <n v="3553.9999999999995"/>
  </r>
  <r>
    <x v="0"/>
    <x v="5"/>
    <s v="January"/>
    <s v="January-2018"/>
    <s v="NA"/>
    <n v="1800.7"/>
    <n v="438.1"/>
    <n v="280.20000000000005"/>
    <n v="264.60000000000002"/>
    <n v="142.30000000000001"/>
    <n v="122.7"/>
    <n v="134.30000000000001"/>
    <n v="141.6"/>
    <n v="153.6"/>
    <n v="132.30000000000001"/>
    <n v="139.30000000000001"/>
    <n v="3610.4"/>
  </r>
  <r>
    <x v="1"/>
    <x v="5"/>
    <s v="January"/>
    <s v="January-2018"/>
    <s v="NA"/>
    <n v="1748.3000000000002"/>
    <n v="396.29999999999995"/>
    <n v="269.89999999999998"/>
    <n v="254.5"/>
    <n v="127.3"/>
    <n v="116.3"/>
    <n v="126.2"/>
    <n v="137.1"/>
    <n v="157.69999999999999"/>
    <n v="125.8"/>
    <n v="134.1"/>
    <n v="3459.4000000000005"/>
  </r>
  <r>
    <x v="2"/>
    <x v="5"/>
    <s v="January"/>
    <s v="January-2018"/>
    <s v="NA"/>
    <n v="1779.9"/>
    <n v="421.3"/>
    <n v="275.3"/>
    <n v="260.60000000000002"/>
    <n v="136.6"/>
    <n v="119.3"/>
    <n v="129.69999999999999"/>
    <n v="139"/>
    <n v="154.69999999999999"/>
    <n v="129.1"/>
    <n v="136.9"/>
    <n v="3545.5"/>
  </r>
  <r>
    <x v="0"/>
    <x v="5"/>
    <s v="February"/>
    <s v="February-2018"/>
    <s v="NA"/>
    <n v="1781.5"/>
    <n v="438.90000000000003"/>
    <n v="281.20000000000005"/>
    <n v="265"/>
    <n v="142.4"/>
    <n v="123.3"/>
    <n v="134.30000000000001"/>
    <n v="141.5"/>
    <n v="153.30000000000001"/>
    <n v="132.5"/>
    <n v="138.5"/>
    <n v="3593.900000000001"/>
  </r>
  <r>
    <x v="1"/>
    <x v="5"/>
    <s v="February"/>
    <s v="February-2018"/>
    <s v="NA"/>
    <n v="1727.9"/>
    <n v="397.09999999999997"/>
    <n v="271.20000000000005"/>
    <n v="256"/>
    <n v="127.3"/>
    <n v="117.4"/>
    <n v="126.5"/>
    <n v="137.19999999999999"/>
    <n v="159.30000000000001"/>
    <n v="126.5"/>
    <n v="134"/>
    <n v="3446.4"/>
  </r>
  <r>
    <x v="2"/>
    <x v="5"/>
    <s v="February"/>
    <s v="February-2018"/>
    <s v="NA"/>
    <n v="1760.3999999999996"/>
    <n v="422"/>
    <n v="276.5"/>
    <n v="261.5"/>
    <n v="136.69999999999999"/>
    <n v="120.2"/>
    <n v="129.9"/>
    <n v="139"/>
    <n v="154.9"/>
    <n v="129.6"/>
    <n v="136.4"/>
    <n v="3530.6999999999994"/>
  </r>
  <r>
    <x v="0"/>
    <x v="5"/>
    <s v="March"/>
    <s v="March-2018"/>
    <s v="NA"/>
    <n v="1781.9999999999998"/>
    <n v="440.5"/>
    <n v="281.89999999999998"/>
    <n v="266"/>
    <n v="142.6"/>
    <n v="124.6"/>
    <n v="135.1"/>
    <n v="142.69999999999999"/>
    <n v="155.1"/>
    <n v="133.30000000000001"/>
    <n v="138.69999999999999"/>
    <n v="3603.7999999999997"/>
  </r>
  <r>
    <x v="1"/>
    <x v="5"/>
    <s v="March"/>
    <s v="March-2018"/>
    <s v="NA"/>
    <n v="1715.5"/>
    <n v="398.59999999999997"/>
    <n v="272.8"/>
    <n v="257.2"/>
    <n v="126.4"/>
    <n v="117.8"/>
    <n v="126.8"/>
    <n v="137.80000000000001"/>
    <n v="159.69999999999999"/>
    <n v="127.1"/>
    <n v="134"/>
    <n v="3439.7000000000003"/>
  </r>
  <r>
    <x v="2"/>
    <x v="5"/>
    <s v="March"/>
    <s v="March-2018"/>
    <s v="NA"/>
    <n v="1756"/>
    <n v="423.6"/>
    <n v="277.60000000000002"/>
    <n v="262.5"/>
    <n v="136.5"/>
    <n v="121"/>
    <n v="130.4"/>
    <n v="139.80000000000001"/>
    <n v="156.30000000000001"/>
    <n v="130.30000000000001"/>
    <n v="136.5"/>
    <n v="3534.0000000000005"/>
  </r>
  <r>
    <x v="0"/>
    <x v="5"/>
    <s v="April"/>
    <s v="April-2018"/>
    <s v="NA"/>
    <n v="1780"/>
    <n v="442.5"/>
    <n v="283.8"/>
    <n v="268"/>
    <n v="143.80000000000001"/>
    <n v="125.3"/>
    <n v="136"/>
    <n v="143.69999999999999"/>
    <n v="156.1"/>
    <n v="134.19999999999999"/>
    <n v="139.1"/>
    <n v="3613.4"/>
  </r>
  <r>
    <x v="1"/>
    <x v="5"/>
    <s v="April"/>
    <s v="April-2018"/>
    <s v="NA"/>
    <n v="1720.0000000000002"/>
    <n v="401.40000000000003"/>
    <n v="274.70000000000005"/>
    <n v="258.89999999999998"/>
    <n v="124.6"/>
    <n v="118.9"/>
    <n v="127.6"/>
    <n v="139.69999999999999"/>
    <n v="159.19999999999999"/>
    <n v="128.19999999999999"/>
    <n v="134.80000000000001"/>
    <n v="3453.2"/>
  </r>
  <r>
    <x v="2"/>
    <x v="5"/>
    <s v="April"/>
    <s v="April-2018"/>
    <s v="NA"/>
    <n v="1757.1000000000001"/>
    <n v="426"/>
    <n v="279.5"/>
    <n v="264.39999999999998"/>
    <n v="136.5"/>
    <n v="121.9"/>
    <n v="131.30000000000001"/>
    <n v="141.4"/>
    <n v="156.9"/>
    <n v="131.30000000000001"/>
    <n v="137.1"/>
    <n v="3546.3000000000011"/>
  </r>
  <r>
    <x v="0"/>
    <x v="5"/>
    <s v="May"/>
    <s v="May-2018"/>
    <s v="NA"/>
    <n v="1782.4"/>
    <n v="444.7"/>
    <n v="285"/>
    <n v="269.60000000000002"/>
    <n v="144.30000000000001"/>
    <n v="126.4"/>
    <n v="136.80000000000001"/>
    <n v="144.4"/>
    <n v="157"/>
    <n v="135.1"/>
    <n v="139.80000000000001"/>
    <n v="3625.7000000000003"/>
  </r>
  <r>
    <x v="1"/>
    <x v="5"/>
    <s v="May"/>
    <s v="May-2018"/>
    <s v="NA"/>
    <n v="1722.8999999999999"/>
    <n v="403.5"/>
    <n v="275.7"/>
    <n v="260.10000000000002"/>
    <n v="124.7"/>
    <n v="119.8"/>
    <n v="128"/>
    <n v="140.4"/>
    <n v="160.30000000000001"/>
    <n v="128.9"/>
    <n v="135.4"/>
    <n v="3464.2999999999997"/>
  </r>
  <r>
    <x v="2"/>
    <x v="5"/>
    <s v="May"/>
    <s v="May-2018"/>
    <s v="NA"/>
    <n v="1759.8"/>
    <n v="428.09999999999997"/>
    <n v="280.60000000000002"/>
    <n v="265.89999999999998"/>
    <n v="136.9"/>
    <n v="122.9"/>
    <n v="131.80000000000001"/>
    <n v="142.1"/>
    <n v="157.9"/>
    <n v="132.1"/>
    <n v="137.80000000000001"/>
    <n v="3558.1000000000004"/>
  </r>
  <r>
    <x v="0"/>
    <x v="5"/>
    <s v="June"/>
    <s v="June-2018"/>
    <s v="NA"/>
    <n v="1790.2999999999997"/>
    <n v="446.3"/>
    <n v="284.7"/>
    <n v="269.8"/>
    <n v="145.1"/>
    <n v="127.4"/>
    <n v="137.80000000000001"/>
    <n v="145.1"/>
    <n v="157.30000000000001"/>
    <n v="135.6"/>
    <n v="140.5"/>
    <n v="3639.4"/>
  </r>
  <r>
    <x v="1"/>
    <x v="5"/>
    <s v="June"/>
    <s v="June-2018"/>
    <s v="NA"/>
    <n v="1747.3000000000002"/>
    <n v="405"/>
    <n v="275.60000000000002"/>
    <n v="260.79999999999995"/>
    <n v="126.5"/>
    <n v="120.4"/>
    <n v="128.5"/>
    <n v="141.19999999999999"/>
    <n v="161"/>
    <n v="129.5"/>
    <n v="136.19999999999999"/>
    <n v="3495.7999999999997"/>
  </r>
  <r>
    <x v="2"/>
    <x v="5"/>
    <s v="June"/>
    <s v="June-2018"/>
    <s v="NA"/>
    <n v="1774.1000000000001"/>
    <n v="429.7"/>
    <n v="280.39999999999998"/>
    <n v="266.29999999999995"/>
    <n v="138.1"/>
    <n v="123.7"/>
    <n v="132.6"/>
    <n v="142.80000000000001"/>
    <n v="158.30000000000001"/>
    <n v="132.6"/>
    <n v="138.5"/>
    <n v="3578.6"/>
  </r>
  <r>
    <x v="0"/>
    <x v="5"/>
    <s v="July"/>
    <s v="July-2018"/>
    <s v="NA"/>
    <n v="1810.5000000000002"/>
    <n v="447.20000000000005"/>
    <n v="286.7"/>
    <n v="270.39999999999998"/>
    <n v="146.80000000000001"/>
    <n v="127.5"/>
    <n v="138.4"/>
    <n v="145.80000000000001"/>
    <n v="156.1"/>
    <n v="136"/>
    <n v="141.80000000000001"/>
    <n v="3665.4000000000005"/>
  </r>
  <r>
    <x v="1"/>
    <x v="5"/>
    <s v="July"/>
    <s v="July-2018"/>
    <s v="NA"/>
    <n v="1771.1"/>
    <n v="406.4"/>
    <n v="277.2"/>
    <n v="261.79999999999995"/>
    <n v="128.1"/>
    <n v="120.1"/>
    <n v="129"/>
    <n v="144"/>
    <n v="161.4"/>
    <n v="130.19999999999999"/>
    <n v="137.5"/>
    <n v="3529.2999999999997"/>
  </r>
  <r>
    <x v="2"/>
    <x v="5"/>
    <s v="July"/>
    <s v="July-2018"/>
    <s v="NA"/>
    <n v="1795.3"/>
    <n v="430.80000000000007"/>
    <n v="282.2"/>
    <n v="267.10000000000002"/>
    <n v="139.69999999999999"/>
    <n v="123.6"/>
    <n v="133.1"/>
    <n v="144.69999999999999"/>
    <n v="157.5"/>
    <n v="133.19999999999999"/>
    <n v="139.80000000000001"/>
    <n v="3607.1999999999989"/>
  </r>
  <r>
    <x v="0"/>
    <x v="5"/>
    <s v="August"/>
    <s v="August-2018"/>
    <s v="NA"/>
    <n v="1818.8"/>
    <n v="449.2"/>
    <n v="288.39999999999998"/>
    <n v="270.70000000000005"/>
    <n v="147.69999999999999"/>
    <n v="128.30000000000001"/>
    <n v="138.6"/>
    <n v="146.9"/>
    <n v="156.4"/>
    <n v="136.6"/>
    <n v="142.5"/>
    <n v="3681.6000000000004"/>
  </r>
  <r>
    <x v="1"/>
    <x v="5"/>
    <s v="August"/>
    <s v="August-2018"/>
    <s v="NA"/>
    <n v="1767.6"/>
    <n v="407.3"/>
    <n v="279"/>
    <n v="263.20000000000005"/>
    <n v="129.80000000000001"/>
    <n v="120.7"/>
    <n v="129.80000000000001"/>
    <n v="145.30000000000001"/>
    <n v="162.1"/>
    <n v="131"/>
    <n v="138"/>
    <n v="3535.8000000000006"/>
  </r>
  <r>
    <x v="2"/>
    <x v="5"/>
    <s v="August"/>
    <s v="August-2018"/>
    <s v="NA"/>
    <n v="1798.7000000000003"/>
    <n v="432.20000000000005"/>
    <n v="284"/>
    <n v="267.79999999999995"/>
    <n v="140.9"/>
    <n v="124.3"/>
    <n v="133.6"/>
    <n v="146"/>
    <n v="157.9"/>
    <n v="133.9"/>
    <n v="140.4"/>
    <n v="3619.3000000000011"/>
  </r>
  <r>
    <x v="0"/>
    <x v="5"/>
    <s v="September"/>
    <s v="September-2018"/>
    <s v="NA"/>
    <n v="1799.8000000000002"/>
    <n v="449.5"/>
    <n v="289.3"/>
    <n v="272"/>
    <n v="149"/>
    <n v="129.9"/>
    <n v="140"/>
    <n v="147.6"/>
    <n v="157.69999999999999"/>
    <n v="137.4"/>
    <n v="142.1"/>
    <n v="3672.2000000000003"/>
  </r>
  <r>
    <x v="1"/>
    <x v="5"/>
    <s v="September"/>
    <s v="September-2018"/>
    <s v="NA"/>
    <n v="1748.4"/>
    <n v="409.20000000000005"/>
    <n v="280.20000000000005"/>
    <n v="265"/>
    <n v="131.19999999999999"/>
    <n v="122.5"/>
    <n v="130.19999999999999"/>
    <n v="145.19999999999999"/>
    <n v="163.30000000000001"/>
    <n v="131.9"/>
    <n v="138.1"/>
    <n v="3527.1"/>
  </r>
  <r>
    <x v="2"/>
    <x v="5"/>
    <s v="September"/>
    <s v="September-2018"/>
    <s v="NA"/>
    <n v="1779.5"/>
    <n v="433.29999999999995"/>
    <n v="285"/>
    <n v="269.3"/>
    <n v="142.30000000000001"/>
    <n v="126"/>
    <n v="134.5"/>
    <n v="146.19999999999999"/>
    <n v="159.19999999999999"/>
    <n v="134.69999999999999"/>
    <n v="140.19999999999999"/>
    <n v="3610"/>
  </r>
  <r>
    <x v="0"/>
    <x v="5"/>
    <s v="October"/>
    <s v="October-2018"/>
    <s v="NA"/>
    <n v="1782.2"/>
    <n v="445"/>
    <n v="293.8"/>
    <n v="279.20000000000005"/>
    <n v="149.69999999999999"/>
    <n v="130.80000000000001"/>
    <n v="140.1"/>
    <n v="148"/>
    <n v="159.6"/>
    <n v="139.80000000000001"/>
    <n v="142.19999999999999"/>
    <n v="3668.2"/>
  </r>
  <r>
    <x v="1"/>
    <x v="5"/>
    <s v="October"/>
    <s v="October-2018"/>
    <s v="NA"/>
    <n v="1754.1"/>
    <n v="411"/>
    <n v="281.39999999999998"/>
    <n v="266.60000000000002"/>
    <n v="133.4"/>
    <n v="123.3"/>
    <n v="130.69999999999999"/>
    <n v="145.5"/>
    <n v="164"/>
    <n v="132.5"/>
    <n v="138.9"/>
    <n v="3542.5"/>
  </r>
  <r>
    <x v="2"/>
    <x v="5"/>
    <s v="October"/>
    <s v="October-2018"/>
    <s v="NA"/>
    <n v="1776.2"/>
    <n v="434"/>
    <n v="289.10000000000002"/>
    <n v="274.10000000000002"/>
    <n v="145.30000000000001"/>
    <n v="125.5"/>
    <n v="136.5"/>
    <n v="147.80000000000001"/>
    <n v="162.6"/>
    <n v="136.30000000000001"/>
    <n v="140.80000000000001"/>
    <n v="3627.4"/>
  </r>
  <r>
    <x v="0"/>
    <x v="5"/>
    <s v="November"/>
    <s v="November-2018"/>
    <s v="NA"/>
    <n v="1787.4999999999995"/>
    <n v="448"/>
    <n v="294.89999999999998"/>
    <n v="278.5"/>
    <n v="150.30000000000001"/>
    <n v="130.30000000000001"/>
    <n v="143.1"/>
    <n v="150.19999999999999"/>
    <n v="161.9"/>
    <n v="140.1"/>
    <n v="142.4"/>
    <n v="3684.7999999999997"/>
  </r>
  <r>
    <x v="1"/>
    <x v="5"/>
    <s v="November"/>
    <s v="November-2018"/>
    <s v="NA"/>
    <n v="1757.4999999999998"/>
    <n v="413.1"/>
    <n v="282.70000000000005"/>
    <n v="267.3"/>
    <n v="136.69999999999999"/>
    <n v="121.2"/>
    <n v="131.30000000000001"/>
    <n v="146.1"/>
    <n v="164.4"/>
    <n v="132.19999999999999"/>
    <n v="139"/>
    <n v="3552.5"/>
  </r>
  <r>
    <x v="2"/>
    <x v="5"/>
    <s v="November"/>
    <s v="November-2018"/>
    <s v="NA"/>
    <n v="1775.7000000000003"/>
    <n v="433.8"/>
    <n v="289.10000000000002"/>
    <n v="274.10000000000002"/>
    <n v="145.1"/>
    <n v="125.5"/>
    <n v="136.5"/>
    <n v="147.80000000000001"/>
    <n v="162.6"/>
    <n v="136.30000000000001"/>
    <n v="140.80000000000001"/>
    <n v="3626.5000000000005"/>
  </r>
  <r>
    <x v="0"/>
    <x v="5"/>
    <s v="December"/>
    <s v="December-2018"/>
    <s v="NA"/>
    <n v="1773.1000000000001"/>
    <n v="448.3"/>
    <n v="296"/>
    <n v="282.79999999999995"/>
    <n v="149"/>
    <n v="128.9"/>
    <n v="143.30000000000001"/>
    <n v="155.1"/>
    <n v="162.4"/>
    <n v="141.6"/>
    <n v="141.9"/>
    <n v="3680.5"/>
  </r>
  <r>
    <x v="1"/>
    <x v="5"/>
    <s v="December"/>
    <s v="December-2018"/>
    <s v="NA"/>
    <n v="1746.6"/>
    <n v="413.8"/>
    <n v="282.7"/>
    <n v="268.10000000000002"/>
    <n v="132.4"/>
    <n v="118.8"/>
    <n v="131.69999999999999"/>
    <n v="146.5"/>
    <n v="164.6"/>
    <n v="131.69999999999999"/>
    <n v="138"/>
    <n v="3536.8999999999996"/>
  </r>
  <r>
    <x v="2"/>
    <x v="5"/>
    <s v="December"/>
    <s v="December-2018"/>
    <s v="NA"/>
    <n v="1762.7999999999997"/>
    <n v="434.3"/>
    <n v="289.7"/>
    <n v="277.10000000000002"/>
    <n v="142.69999999999999"/>
    <n v="123.6"/>
    <n v="136.80000000000001"/>
    <n v="150.1"/>
    <n v="163"/>
    <n v="136.80000000000001"/>
    <n v="140.1"/>
    <n v="3616.8999999999996"/>
  </r>
  <r>
    <x v="0"/>
    <x v="6"/>
    <s v="January"/>
    <s v="January-2019"/>
    <s v="NA"/>
    <n v="1759.6000000000001"/>
    <n v="445.6"/>
    <n v="297.79999999999995"/>
    <n v="283.10000000000002"/>
    <n v="146.19999999999999"/>
    <n v="128.6"/>
    <n v="142.9"/>
    <n v="155.19999999999999"/>
    <n v="162.69999999999999"/>
    <n v="141.69999999999999"/>
    <n v="141"/>
    <n v="3663.3999999999992"/>
  </r>
  <r>
    <x v="1"/>
    <x v="6"/>
    <s v="January"/>
    <s v="January-2019"/>
    <s v="NA"/>
    <n v="1744.3000000000002"/>
    <n v="414.5"/>
    <n v="284"/>
    <n v="269.5"/>
    <n v="128.6"/>
    <n v="118.6"/>
    <n v="131.9"/>
    <n v="146.6"/>
    <n v="164.7"/>
    <n v="131.80000000000001"/>
    <n v="138"/>
    <n v="3534.5"/>
  </r>
  <r>
    <x v="2"/>
    <x v="6"/>
    <s v="January"/>
    <s v="January-2019"/>
    <s v="NA"/>
    <n v="1753.3999999999999"/>
    <n v="433"/>
    <n v="291.29999999999995"/>
    <n v="277.89999999999998"/>
    <n v="139.5"/>
    <n v="123.3"/>
    <n v="136.69999999999999"/>
    <n v="150.19999999999999"/>
    <n v="163.19999999999999"/>
    <n v="136.9"/>
    <n v="139.6"/>
    <n v="3605.3999999999996"/>
  </r>
  <r>
    <x v="0"/>
    <x v="6"/>
    <s v="February"/>
    <s v="February-2019"/>
    <s v="NA"/>
    <n v="1759.8000000000002"/>
    <n v="446.5"/>
    <n v="298.60000000000002"/>
    <n v="284.8"/>
    <n v="145.30000000000001"/>
    <n v="129.19999999999999"/>
    <n v="143.4"/>
    <n v="155.5"/>
    <n v="162.80000000000001"/>
    <n v="142.19999999999999"/>
    <n v="141"/>
    <n v="3668.1000000000004"/>
  </r>
  <r>
    <x v="1"/>
    <x v="6"/>
    <s v="February"/>
    <s v="February-2019"/>
    <s v="NA"/>
    <n v="1754.4"/>
    <n v="415.5"/>
    <n v="285.10000000000002"/>
    <n v="271.5"/>
    <n v="127.1"/>
    <n v="119.2"/>
    <n v="132.19999999999999"/>
    <n v="146.6"/>
    <n v="164.9"/>
    <n v="132.4"/>
    <n v="138.6"/>
    <n v="3548.8999999999996"/>
  </r>
  <r>
    <x v="2"/>
    <x v="6"/>
    <s v="February"/>
    <s v="February-2019"/>
    <s v="NA"/>
    <n v="1757.1"/>
    <n v="433.9"/>
    <n v="292.2"/>
    <n v="279.7"/>
    <n v="138.4"/>
    <n v="123.9"/>
    <n v="137.1"/>
    <n v="150.30000000000001"/>
    <n v="163.4"/>
    <n v="137.4"/>
    <n v="139.9"/>
    <n v="3613.4"/>
  </r>
  <r>
    <x v="0"/>
    <x v="6"/>
    <s v="March"/>
    <s v="March-2019"/>
    <s v="NA"/>
    <n v="1761.2000000000003"/>
    <n v="447"/>
    <n v="299"/>
    <n v="284.39999999999998"/>
    <n v="146.4"/>
    <n v="129.9"/>
    <n v="143.80000000000001"/>
    <n v="155.5"/>
    <n v="162.9"/>
    <n v="142.4"/>
    <n v="141.19999999999999"/>
    <n v="3672.5000000000009"/>
  </r>
  <r>
    <x v="1"/>
    <x v="6"/>
    <s v="March"/>
    <s v="March-2019"/>
    <s v="NA"/>
    <n v="1768.4"/>
    <n v="416.29999999999995"/>
    <n v="285.8"/>
    <n v="271.7"/>
    <n v="128.80000000000001"/>
    <n v="119.9"/>
    <n v="133"/>
    <n v="146.69999999999999"/>
    <n v="165.3"/>
    <n v="132.80000000000001"/>
    <n v="139.5"/>
    <n v="3568.7000000000003"/>
  </r>
  <r>
    <x v="2"/>
    <x v="6"/>
    <s v="March"/>
    <s v="March-2019"/>
    <s v="NA"/>
    <n v="1762.9"/>
    <n v="434.5"/>
    <n v="292.8"/>
    <n v="279.60000000000002"/>
    <n v="139.69999999999999"/>
    <n v="124.6"/>
    <n v="137.69999999999999"/>
    <n v="150.30000000000001"/>
    <n v="163.5"/>
    <n v="137.69999999999999"/>
    <n v="140.4"/>
    <n v="3623.2999999999997"/>
  </r>
  <r>
    <x v="0"/>
    <x v="6"/>
    <s v="August"/>
    <s v="August-2019"/>
    <s v="Pre_Covid"/>
    <n v="1834.5000000000002"/>
    <n v="449.5"/>
    <n v="301.79999999999995"/>
    <n v="291.5"/>
    <n v="146.4"/>
    <n v="131.4"/>
    <n v="148"/>
    <n v="159.69999999999999"/>
    <n v="165.1"/>
    <n v="144.9"/>
    <n v="145.69999999999999"/>
    <n v="3772.8"/>
  </r>
  <r>
    <x v="1"/>
    <x v="6"/>
    <s v="August"/>
    <s v="August-2019"/>
    <s v="Pre_Covid"/>
    <n v="1869.1"/>
    <n v="420.2"/>
    <n v="289.7"/>
    <n v="279.3"/>
    <n v="125.5"/>
    <n v="120.8"/>
    <n v="135.4"/>
    <n v="151.5"/>
    <n v="167.9"/>
    <n v="135.30000000000001"/>
    <n v="144.19999999999999"/>
    <n v="3694.7000000000003"/>
  </r>
  <r>
    <x v="2"/>
    <x v="6"/>
    <s v="August"/>
    <s v="August-2019"/>
    <s v="Pre_Covid"/>
    <n v="1846.5"/>
    <n v="437.6"/>
    <n v="296.10000000000002"/>
    <n v="286.89999999999998"/>
    <n v="138.5"/>
    <n v="125.8"/>
    <n v="140.9"/>
    <n v="154.9"/>
    <n v="165.8"/>
    <n v="140.19999999999999"/>
    <n v="145"/>
    <n v="3733.2000000000003"/>
  </r>
  <r>
    <x v="0"/>
    <x v="6"/>
    <s v="December"/>
    <s v="December-2019"/>
    <s v="Pre_Covid"/>
    <n v="1940.9999999999995"/>
    <n v="451.79999999999995"/>
    <n v="304"/>
    <n v="295.39999999999998"/>
    <n v="149.9"/>
    <n v="135"/>
    <n v="149.5"/>
    <n v="161.1"/>
    <n v="167.8"/>
    <n v="147.1"/>
    <n v="152.30000000000001"/>
    <n v="3902.5999999999995"/>
  </r>
  <r>
    <x v="1"/>
    <x v="6"/>
    <s v="December"/>
    <s v="December-2019"/>
    <s v="Pre_Covid"/>
    <n v="1956.7"/>
    <n v="424.20000000000005"/>
    <n v="292.60000000000002"/>
    <n v="283.39999999999998"/>
    <n v="133.6"/>
    <n v="125.2"/>
    <n v="136.80000000000001"/>
    <n v="151.9"/>
    <n v="170.4"/>
    <n v="137.69999999999999"/>
    <n v="148.30000000000001"/>
    <n v="3812.5"/>
  </r>
  <r>
    <x v="2"/>
    <x v="6"/>
    <s v="December"/>
    <s v="December-2019"/>
    <s v="Pre_Covid"/>
    <n v="1946.1000000000001"/>
    <n v="440.6"/>
    <n v="298.60000000000002"/>
    <n v="290.8"/>
    <n v="143.69999999999999"/>
    <n v="129.80000000000001"/>
    <n v="142.30000000000001"/>
    <n v="155.69999999999999"/>
    <n v="168.5"/>
    <n v="142.5"/>
    <n v="150.4"/>
    <n v="3858.6000000000004"/>
  </r>
  <r>
    <x v="0"/>
    <x v="6"/>
    <s v="July"/>
    <s v="July-2019"/>
    <s v="Pre_Covid"/>
    <n v="1826.8999999999999"/>
    <n v="449.1"/>
    <n v="300.60000000000002"/>
    <n v="288.29999999999995"/>
    <n v="146.80000000000001"/>
    <n v="131.19999999999999"/>
    <n v="147.5"/>
    <n v="159.1"/>
    <n v="164.5"/>
    <n v="144.19999999999999"/>
    <n v="144.9"/>
    <n v="3758.1999999999994"/>
  </r>
  <r>
    <x v="1"/>
    <x v="6"/>
    <s v="July"/>
    <s v="July-2019"/>
    <s v="Pre_Covid"/>
    <n v="1857.3999999999999"/>
    <n v="419.3"/>
    <n v="288.29999999999995"/>
    <n v="275.89999999999998"/>
    <n v="127"/>
    <n v="120.6"/>
    <n v="135"/>
    <n v="150.4"/>
    <n v="167.2"/>
    <n v="134.5"/>
    <n v="143.30000000000001"/>
    <n v="3675.6"/>
  </r>
  <r>
    <x v="2"/>
    <x v="6"/>
    <s v="July"/>
    <s v="July-2019"/>
    <s v="Pre_Covid"/>
    <n v="1837.5"/>
    <n v="437"/>
    <n v="294.79999999999995"/>
    <n v="283.60000000000002"/>
    <n v="139.30000000000001"/>
    <n v="125.6"/>
    <n v="140.5"/>
    <n v="154"/>
    <n v="165.2"/>
    <n v="139.5"/>
    <n v="144.19999999999999"/>
    <n v="3717"/>
  </r>
  <r>
    <x v="0"/>
    <x v="6"/>
    <s v="June"/>
    <s v="June-2019"/>
    <s v="Pre_Covid"/>
    <n v="1804.1999999999998"/>
    <n v="448.59999999999997"/>
    <n v="299"/>
    <n v="286.5"/>
    <n v="147.80000000000001"/>
    <n v="130.19999999999999"/>
    <n v="146.4"/>
    <n v="157.69999999999999"/>
    <n v="164.2"/>
    <n v="143.30000000000001"/>
    <n v="143.6"/>
    <n v="3727.8999999999996"/>
  </r>
  <r>
    <x v="1"/>
    <x v="6"/>
    <s v="June"/>
    <s v="June-2019"/>
    <s v="Pre_Covid"/>
    <n v="1833.2999999999997"/>
    <n v="418.4"/>
    <n v="286.8"/>
    <n v="274"/>
    <n v="130.5"/>
    <n v="119.6"/>
    <n v="134.30000000000001"/>
    <n v="148.9"/>
    <n v="166.7"/>
    <n v="133.6"/>
    <n v="142.1"/>
    <n v="3646.1"/>
  </r>
  <r>
    <x v="2"/>
    <x v="6"/>
    <s v="June"/>
    <s v="June-2019"/>
    <s v="Pre_Covid"/>
    <n v="1814.1000000000001"/>
    <n v="436.4"/>
    <n v="293.20000000000005"/>
    <n v="281.70000000000005"/>
    <n v="141.19999999999999"/>
    <n v="124.6"/>
    <n v="139.6"/>
    <n v="152.5"/>
    <n v="164.9"/>
    <n v="138.6"/>
    <n v="142.9"/>
    <n v="3686.7999999999993"/>
  </r>
  <r>
    <x v="0"/>
    <x v="6"/>
    <s v="May"/>
    <s v="May-2019"/>
    <s v="Pre_Covid"/>
    <n v="1782.1000000000001"/>
    <n v="448.59999999999997"/>
    <n v="299.60000000000002"/>
    <n v="285.20000000000005"/>
    <n v="146.9"/>
    <n v="130.19999999999999"/>
    <n v="145.9"/>
    <n v="156.69999999999999"/>
    <n v="163.30000000000001"/>
    <n v="142.9"/>
    <n v="142.4"/>
    <n v="3701.4"/>
  </r>
  <r>
    <x v="1"/>
    <x v="6"/>
    <s v="May"/>
    <s v="May-2019"/>
    <s v="Pre_Covid"/>
    <n v="1811.5000000000002"/>
    <n v="417.9"/>
    <n v="287.29999999999995"/>
    <n v="272.39999999999998"/>
    <n v="129.4"/>
    <n v="120.1"/>
    <n v="134"/>
    <n v="148"/>
    <n v="166.2"/>
    <n v="133.30000000000001"/>
    <n v="141.5"/>
    <n v="3620.1"/>
  </r>
  <r>
    <x v="2"/>
    <x v="6"/>
    <s v="May"/>
    <s v="May-2019"/>
    <s v="Pre_Covid"/>
    <n v="1791.9000000000003"/>
    <n v="436.1"/>
    <n v="293.79999999999995"/>
    <n v="280.3"/>
    <n v="140.30000000000001"/>
    <n v="124.9"/>
    <n v="139.19999999999999"/>
    <n v="151.6"/>
    <n v="164.1"/>
    <n v="138.19999999999999"/>
    <n v="142"/>
    <n v="3660.4"/>
  </r>
  <r>
    <x v="0"/>
    <x v="6"/>
    <s v="November"/>
    <s v="November-2019"/>
    <s v="Pre_Covid"/>
    <n v="1904.6000000000001"/>
    <n v="450.8"/>
    <n v="304.39999999999998"/>
    <n v="294.89999999999998"/>
    <n v="148.4"/>
    <n v="132.1"/>
    <n v="149.1"/>
    <n v="160.80000000000001"/>
    <n v="167.2"/>
    <n v="146.1"/>
    <n v="149.9"/>
    <n v="3858.4"/>
  </r>
  <r>
    <x v="1"/>
    <x v="6"/>
    <s v="November"/>
    <s v="November-2019"/>
    <s v="Pre_Covid"/>
    <n v="1923.9999999999998"/>
    <n v="423.09999999999997"/>
    <n v="292.60000000000002"/>
    <n v="282.60000000000002"/>
    <n v="132.19999999999999"/>
    <n v="121.7"/>
    <n v="136.69999999999999"/>
    <n v="151.80000000000001"/>
    <n v="169.9"/>
    <n v="136.30000000000001"/>
    <n v="147"/>
    <n v="3770.8999999999996"/>
  </r>
  <r>
    <x v="2"/>
    <x v="6"/>
    <s v="November"/>
    <s v="November-2019"/>
    <s v="Pre_Covid"/>
    <n v="1910.9"/>
    <n v="439.5"/>
    <n v="298.8"/>
    <n v="290.20000000000005"/>
    <n v="142.30000000000001"/>
    <n v="126.6"/>
    <n v="142.1"/>
    <n v="155.5"/>
    <n v="167.9"/>
    <n v="141.30000000000001"/>
    <n v="148.6"/>
    <n v="3815.1000000000008"/>
  </r>
  <r>
    <x v="0"/>
    <x v="6"/>
    <s v="October"/>
    <s v="October-2019"/>
    <s v="Pre_Covid"/>
    <n v="1876.8999999999996"/>
    <n v="449.4"/>
    <n v="303.60000000000002"/>
    <n v="294"/>
    <n v="147.69999999999999"/>
    <n v="131.69999999999999"/>
    <n v="148.69999999999999"/>
    <n v="160.69999999999999"/>
    <n v="166.3"/>
    <n v="145.69999999999999"/>
    <n v="148.30000000000001"/>
    <n v="3824.6999999999989"/>
  </r>
  <r>
    <x v="1"/>
    <x v="6"/>
    <s v="October"/>
    <s v="October-2019"/>
    <s v="Pre_Covid"/>
    <n v="1902.6000000000001"/>
    <n v="422.20000000000005"/>
    <n v="291.7"/>
    <n v="281.89999999999998"/>
    <n v="128.9"/>
    <n v="121.5"/>
    <n v="136.19999999999999"/>
    <n v="151.69999999999999"/>
    <n v="169.3"/>
    <n v="136"/>
    <n v="146"/>
    <n v="3742"/>
  </r>
  <r>
    <x v="2"/>
    <x v="6"/>
    <s v="October"/>
    <s v="October-2019"/>
    <s v="Pre_Covid"/>
    <n v="1885.5999999999997"/>
    <n v="438.40000000000003"/>
    <n v="298"/>
    <n v="289.39999999999998"/>
    <n v="140.6"/>
    <n v="126.3"/>
    <n v="141.69999999999999"/>
    <n v="155.4"/>
    <n v="167.1"/>
    <n v="141"/>
    <n v="147.19999999999999"/>
    <n v="3783.4999999999995"/>
  </r>
  <r>
    <x v="0"/>
    <x v="6"/>
    <s v="September"/>
    <s v="September-2019"/>
    <s v="Pre_Covid"/>
    <n v="1848.7"/>
    <n v="449.29999999999995"/>
    <n v="302.5"/>
    <n v="293.60000000000002"/>
    <n v="146.9"/>
    <n v="131.6"/>
    <n v="148.30000000000001"/>
    <n v="160.19999999999999"/>
    <n v="165.7"/>
    <n v="145.4"/>
    <n v="146.69999999999999"/>
    <n v="3792.2"/>
  </r>
  <r>
    <x v="1"/>
    <x v="6"/>
    <s v="September"/>
    <s v="September-2019"/>
    <s v="Pre_Covid"/>
    <n v="1874.9"/>
    <n v="420.8"/>
    <n v="290.5"/>
    <n v="280.89999999999998"/>
    <n v="126.6"/>
    <n v="121.2"/>
    <n v="135.9"/>
    <n v="151.6"/>
    <n v="168.6"/>
    <n v="135.69999999999999"/>
    <n v="144.69999999999999"/>
    <n v="3706.7"/>
  </r>
  <r>
    <x v="2"/>
    <x v="6"/>
    <s v="September"/>
    <s v="September-2019"/>
    <s v="Pre_Covid"/>
    <n v="1857.6999999999998"/>
    <n v="437.69999999999993"/>
    <n v="296.79999999999995"/>
    <n v="288.7"/>
    <n v="139.19999999999999"/>
    <n v="126.1"/>
    <n v="141.30000000000001"/>
    <n v="155.19999999999999"/>
    <n v="166.5"/>
    <n v="140.69999999999999"/>
    <n v="145.80000000000001"/>
    <n v="3749.8999999999992"/>
  </r>
  <r>
    <x v="0"/>
    <x v="7"/>
    <s v="January"/>
    <s v="January-2020"/>
    <s v="Pre_Covid"/>
    <n v="1938.6"/>
    <n v="452.30000000000007"/>
    <n v="305.60000000000002"/>
    <n v="298.2"/>
    <n v="150.4"/>
    <n v="136.30000000000001"/>
    <n v="150.1"/>
    <n v="161.69999999999999"/>
    <n v="168.6"/>
    <n v="148.1"/>
    <n v="151.9"/>
    <n v="3909.8999999999996"/>
  </r>
  <r>
    <x v="1"/>
    <x v="7"/>
    <s v="January"/>
    <s v="January-2020"/>
    <s v="Pre_Covid"/>
    <n v="1945.3999999999999"/>
    <n v="425.1"/>
    <n v="294"/>
    <n v="285.89999999999998"/>
    <n v="135.1"/>
    <n v="126.1"/>
    <n v="137.19999999999999"/>
    <n v="152.1"/>
    <n v="170.8"/>
    <n v="138.4"/>
    <n v="148.19999999999999"/>
    <n v="3810.1"/>
  </r>
  <r>
    <x v="2"/>
    <x v="7"/>
    <s v="January"/>
    <s v="January-2020"/>
    <s v="Pre_Covid"/>
    <n v="1940.3999999999999"/>
    <n v="441.2"/>
    <n v="300.10000000000002"/>
    <n v="293.5"/>
    <n v="144.6"/>
    <n v="130.9"/>
    <n v="142.80000000000001"/>
    <n v="156.1"/>
    <n v="169.2"/>
    <n v="143.4"/>
    <n v="150.19999999999999"/>
    <n v="3862.2"/>
  </r>
  <r>
    <x v="0"/>
    <x v="7"/>
    <s v="February"/>
    <s v="February-2020"/>
    <s v="Pre_Covid"/>
    <n v="1909.7999999999997"/>
    <n v="452.8"/>
    <n v="306.60000000000002"/>
    <n v="299.60000000000002"/>
    <n v="152.30000000000001"/>
    <n v="136"/>
    <n v="150.4"/>
    <n v="161.9"/>
    <n v="169.4"/>
    <n v="148.4"/>
    <n v="150.4"/>
    <n v="3887.2000000000003"/>
  </r>
  <r>
    <x v="1"/>
    <x v="7"/>
    <s v="February"/>
    <s v="February-2020"/>
    <s v="Pre_Covid"/>
    <n v="1916.6"/>
    <n v="426"/>
    <n v="295.20000000000005"/>
    <n v="287.89999999999998"/>
    <n v="138.9"/>
    <n v="125.2"/>
    <n v="137.69999999999999"/>
    <n v="152.19999999999999"/>
    <n v="172"/>
    <n v="138.4"/>
    <n v="147.69999999999999"/>
    <n v="3790.1"/>
  </r>
  <r>
    <x v="2"/>
    <x v="7"/>
    <s v="February"/>
    <s v="February-2020"/>
    <s v="Pre_Covid"/>
    <n v="1911.6"/>
    <n v="442"/>
    <n v="301.20000000000005"/>
    <n v="295.10000000000002"/>
    <n v="147.19999999999999"/>
    <n v="130.30000000000001"/>
    <n v="143.19999999999999"/>
    <n v="156.19999999999999"/>
    <n v="170.1"/>
    <n v="143.6"/>
    <n v="149.1"/>
    <n v="3840.4999999999995"/>
  </r>
  <r>
    <x v="0"/>
    <x v="7"/>
    <s v="March"/>
    <s v="March-2020"/>
    <s v="Pre_Covid"/>
    <n v="1894.5999999999997"/>
    <n v="453.5"/>
    <n v="306"/>
    <n v="301.79999999999995"/>
    <n v="153.4"/>
    <n v="135.80000000000001"/>
    <n v="151.19999999999999"/>
    <n v="161.19999999999999"/>
    <n v="170.5"/>
    <n v="148.6"/>
    <n v="149.80000000000001"/>
    <n v="3876.5999999999995"/>
  </r>
  <r>
    <x v="1"/>
    <x v="7"/>
    <s v="March"/>
    <s v="March-2020"/>
    <s v="Pre_Covid"/>
    <n v="1898.5"/>
    <n v="427.1"/>
    <n v="295.3"/>
    <n v="290.3"/>
    <n v="141.4"/>
    <n v="124.6"/>
    <n v="137.9"/>
    <n v="152.5"/>
    <n v="173.3"/>
    <n v="138.69999999999999"/>
    <n v="147.30000000000001"/>
    <n v="3779.6000000000004"/>
  </r>
  <r>
    <x v="2"/>
    <x v="7"/>
    <s v="March"/>
    <s v="March-2020"/>
    <s v="Pre_Covid"/>
    <n v="1895.4"/>
    <n v="442.90000000000003"/>
    <n v="300.89999999999998"/>
    <n v="297.5"/>
    <n v="148.9"/>
    <n v="129.9"/>
    <n v="143.69999999999999"/>
    <n v="156.1"/>
    <n v="171.2"/>
    <n v="143.80000000000001"/>
    <n v="148.6"/>
    <n v="3830.3"/>
  </r>
  <r>
    <x v="0"/>
    <x v="7"/>
    <s v="April"/>
    <s v="April-2020"/>
    <s v="During_Covid"/>
    <n v="1614.8000000000002"/>
    <n v="0"/>
    <n v="155.6"/>
    <n v="154.30000000000001"/>
    <n v="148.4"/>
    <s v="NA"/>
    <s v="NA"/>
    <s v="NA"/>
    <s v="NA"/>
    <s v="NA"/>
    <s v="NA"/>
    <n v="2073.1"/>
  </r>
  <r>
    <x v="1"/>
    <x v="7"/>
    <s v="April"/>
    <s v="April-2020"/>
    <s v="During_Covid"/>
    <n v="1636.7"/>
    <n v="0"/>
    <n v="155.6"/>
    <n v="144.80000000000001"/>
    <n v="137.1"/>
    <s v="NA"/>
    <s v="NA"/>
    <s v="NA"/>
    <s v="NA"/>
    <s v="NA"/>
    <s v="NA"/>
    <n v="2074.1999999999998"/>
  </r>
  <r>
    <x v="2"/>
    <x v="7"/>
    <s v="April"/>
    <s v="April-2020"/>
    <s v="During_Covid"/>
    <n v="1622.7"/>
    <n v="0"/>
    <n v="155.6"/>
    <n v="150.69999999999999"/>
    <n v="144.1"/>
    <s v="NA"/>
    <s v="NA"/>
    <s v="NA"/>
    <s v="NA"/>
    <s v="NA"/>
    <s v="NA"/>
    <n v="2073.1"/>
  </r>
  <r>
    <x v="0"/>
    <x v="7"/>
    <s v="June"/>
    <s v="June-2020"/>
    <s v="During_Covid"/>
    <n v="1951"/>
    <n v="458.79999999999995"/>
    <n v="306.39999999999998"/>
    <n v="309.39999999999998"/>
    <n v="144.9"/>
    <n v="141.4"/>
    <n v="153.19999999999999"/>
    <n v="161.80000000000001"/>
    <n v="182.4"/>
    <n v="151.69999999999999"/>
    <n v="152.69999999999999"/>
    <n v="3961.0000000000005"/>
  </r>
  <r>
    <x v="1"/>
    <x v="7"/>
    <s v="June"/>
    <s v="June-2020"/>
    <s v="During_Covid"/>
    <n v="1994.9999999999998"/>
    <n v="432.9"/>
    <n v="295.10000000000002"/>
    <n v="300.29999999999995"/>
    <n v="137.1"/>
    <n v="129.30000000000001"/>
    <n v="144.5"/>
    <n v="152.5"/>
    <n v="186.7"/>
    <n v="142"/>
    <n v="150.80000000000001"/>
    <n v="3915.3999999999992"/>
  </r>
  <r>
    <x v="2"/>
    <x v="7"/>
    <s v="June"/>
    <s v="June-2020"/>
    <s v="During_Covid"/>
    <n v="1966.8000000000002"/>
    <n v="448.29999999999995"/>
    <n v="301.10000000000002"/>
    <n v="306"/>
    <n v="141.9"/>
    <n v="135"/>
    <n v="148.30000000000001"/>
    <n v="156.4"/>
    <n v="183.5"/>
    <n v="147"/>
    <n v="151.80000000000001"/>
    <n v="3934.3000000000006"/>
  </r>
  <r>
    <x v="0"/>
    <x v="7"/>
    <s v="July"/>
    <s v="July-2020"/>
    <s v="During_Covid"/>
    <n v="1951"/>
    <n v="458.79999999999995"/>
    <n v="306.39999999999998"/>
    <n v="309.39999999999998"/>
    <n v="144.9"/>
    <n v="141.4"/>
    <n v="153.19999999999999"/>
    <n v="161.80000000000001"/>
    <n v="182.4"/>
    <n v="151.69999999999999"/>
    <n v="152.69999999999999"/>
    <n v="3961.0000000000005"/>
  </r>
  <r>
    <x v="1"/>
    <x v="7"/>
    <s v="July"/>
    <s v="July-2020"/>
    <s v="During_Covid"/>
    <n v="1994.9999999999998"/>
    <n v="432.9"/>
    <n v="295.10000000000002"/>
    <n v="300.29999999999995"/>
    <n v="137.1"/>
    <n v="129.30000000000001"/>
    <n v="144.5"/>
    <n v="152.5"/>
    <n v="186.7"/>
    <n v="142"/>
    <n v="150.80000000000001"/>
    <n v="3915.3999999999992"/>
  </r>
  <r>
    <x v="2"/>
    <x v="7"/>
    <s v="July"/>
    <s v="July-2020"/>
    <s v="During_Covid"/>
    <n v="1966.8000000000002"/>
    <n v="448.29999999999995"/>
    <n v="301.10000000000002"/>
    <n v="306"/>
    <n v="141.9"/>
    <n v="135"/>
    <n v="148.30000000000001"/>
    <n v="156.4"/>
    <n v="183.5"/>
    <n v="147"/>
    <n v="151.80000000000001"/>
    <n v="3934.3000000000006"/>
  </r>
  <r>
    <x v="0"/>
    <x v="7"/>
    <s v="August"/>
    <s v="August-2020"/>
    <s v="During_Covid"/>
    <n v="1978.6"/>
    <n v="458.7"/>
    <n v="307.39999999999998"/>
    <n v="312.39999999999998"/>
    <n v="145.80000000000001"/>
    <n v="143.6"/>
    <n v="152.19999999999999"/>
    <n v="162.69999999999999"/>
    <n v="180.9"/>
    <n v="153"/>
    <n v="154.69999999999999"/>
    <n v="3995.2999999999997"/>
  </r>
  <r>
    <x v="1"/>
    <x v="7"/>
    <s v="August"/>
    <s v="August-2020"/>
    <s v="During_Covid"/>
    <n v="2024.8999999999999"/>
    <n v="433"/>
    <n v="300"/>
    <n v="303.89999999999998"/>
    <n v="138.30000000000001"/>
    <n v="133.9"/>
    <n v="141.19999999999999"/>
    <n v="155.5"/>
    <n v="187.2"/>
    <n v="144.80000000000001"/>
    <n v="152.9"/>
    <n v="3962.7"/>
  </r>
  <r>
    <x v="2"/>
    <x v="7"/>
    <s v="August"/>
    <s v="August-2020"/>
    <s v="During_Covid"/>
    <n v="1995.1999999999998"/>
    <n v="448.2"/>
    <n v="303.89999999999998"/>
    <n v="309.3"/>
    <n v="143"/>
    <n v="138.5"/>
    <n v="146"/>
    <n v="158.5"/>
    <n v="182.6"/>
    <n v="149"/>
    <n v="153.9"/>
    <n v="3974.2"/>
  </r>
  <r>
    <x v="0"/>
    <x v="7"/>
    <s v="September"/>
    <s v="September-2020"/>
    <s v="During_Covid"/>
    <n v="1987.3999999999999"/>
    <n v="459.9"/>
    <n v="307.89999999999998"/>
    <n v="316.5"/>
    <n v="146.4"/>
    <n v="144.6"/>
    <n v="152.80000000000001"/>
    <n v="161.1"/>
    <n v="182.9"/>
    <n v="153.69999999999999"/>
    <n v="155.4"/>
    <n v="4013.2"/>
  </r>
  <r>
    <x v="1"/>
    <x v="7"/>
    <s v="September"/>
    <s v="September-2020"/>
    <s v="During_Covid"/>
    <n v="2041.6000000000001"/>
    <n v="434.6"/>
    <n v="301.70000000000005"/>
    <n v="309.8"/>
    <n v="137.19999999999999"/>
    <n v="135.1"/>
    <n v="141.80000000000001"/>
    <n v="154.9"/>
    <n v="188.7"/>
    <n v="146"/>
    <n v="154"/>
    <n v="3991.4000000000005"/>
  </r>
  <r>
    <x v="2"/>
    <x v="7"/>
    <s v="September"/>
    <s v="September-2020"/>
    <s v="During_Covid"/>
    <n v="2007"/>
    <n v="449.70000000000005"/>
    <n v="305"/>
    <n v="314"/>
    <n v="142.9"/>
    <n v="139.6"/>
    <n v="146.6"/>
    <n v="157.5"/>
    <n v="184.4"/>
    <n v="150"/>
    <n v="154.69999999999999"/>
    <n v="3996.7"/>
  </r>
  <r>
    <x v="0"/>
    <x v="7"/>
    <s v="October"/>
    <s v="October-2020"/>
    <s v="During_Covid"/>
    <n v="2030.9"/>
    <n v="461.29999999999995"/>
    <n v="308.5"/>
    <n v="315.7"/>
    <n v="146.80000000000001"/>
    <n v="146.4"/>
    <n v="152.4"/>
    <n v="162.5"/>
    <n v="182.7"/>
    <n v="154.30000000000001"/>
    <n v="157.5"/>
    <n v="4061.5"/>
  </r>
  <r>
    <x v="1"/>
    <x v="7"/>
    <s v="October"/>
    <s v="October-2020"/>
    <s v="During_Covid"/>
    <n v="2080.1999999999998"/>
    <n v="434.90000000000003"/>
    <n v="301.60000000000002"/>
    <n v="309.10000000000002"/>
    <n v="137.1"/>
    <n v="135.4"/>
    <n v="142"/>
    <n v="155.69999999999999"/>
    <n v="188.7"/>
    <n v="146.19999999999999"/>
    <n v="155.19999999999999"/>
    <n v="4030.8999999999992"/>
  </r>
  <r>
    <x v="2"/>
    <x v="7"/>
    <s v="October"/>
    <s v="October-2020"/>
    <s v="During_Covid"/>
    <n v="2048.6000000000004"/>
    <n v="450.59999999999997"/>
    <n v="305.2"/>
    <n v="313.3"/>
    <n v="143.1"/>
    <n v="140.6"/>
    <n v="146.5"/>
    <n v="158.5"/>
    <n v="184.3"/>
    <n v="150.4"/>
    <n v="156.4"/>
    <n v="4041.1000000000004"/>
  </r>
  <r>
    <x v="0"/>
    <x v="7"/>
    <s v="November"/>
    <s v="November-2020"/>
    <s v="During_Covid"/>
    <n v="2082.4"/>
    <n v="462.8"/>
    <n v="310.8"/>
    <n v="316.60000000000002"/>
    <n v="147.5"/>
    <n v="146.1"/>
    <n v="153.6"/>
    <n v="161.6"/>
    <n v="183.4"/>
    <n v="154.5"/>
    <n v="159.80000000000001"/>
    <n v="4119.3"/>
  </r>
  <r>
    <x v="1"/>
    <x v="7"/>
    <s v="November"/>
    <s v="November-2020"/>
    <s v="During_Covid"/>
    <n v="2120.6999999999998"/>
    <n v="436.3"/>
    <n v="303.10000000000002"/>
    <n v="309.89999999999998"/>
    <n v="137.30000000000001"/>
    <n v="135.19999999999999"/>
    <n v="144.4"/>
    <n v="156.4"/>
    <n v="188.8"/>
    <n v="146.6"/>
    <n v="156.69999999999999"/>
    <n v="4078.7000000000003"/>
  </r>
  <r>
    <x v="2"/>
    <x v="7"/>
    <s v="November"/>
    <s v="November-2020"/>
    <s v="During_Covid"/>
    <n v="2095.6"/>
    <n v="452.00000000000006"/>
    <n v="307.2"/>
    <n v="314.10000000000002"/>
    <n v="143.6"/>
    <n v="140.4"/>
    <n v="148.4"/>
    <n v="158.6"/>
    <n v="184.8"/>
    <n v="150.69999999999999"/>
    <n v="158.4"/>
    <n v="4095.3999999999996"/>
  </r>
  <r>
    <x v="0"/>
    <x v="7"/>
    <s v="December"/>
    <s v="December-2020"/>
    <s v="During_Covid"/>
    <n v="2100.5"/>
    <n v="464.90000000000003"/>
    <n v="311.8"/>
    <n v="318.2"/>
    <n v="148.69999999999999"/>
    <n v="146.4"/>
    <n v="153.9"/>
    <n v="162.9"/>
    <n v="183.6"/>
    <n v="155.19999999999999"/>
    <n v="160.69999999999999"/>
    <n v="4146.1000000000004"/>
  </r>
  <r>
    <x v="1"/>
    <x v="7"/>
    <s v="December"/>
    <s v="December-2020"/>
    <s v="During_Covid"/>
    <n v="2125.4"/>
    <n v="438.20000000000005"/>
    <n v="303.89999999999998"/>
    <n v="310.8"/>
    <n v="137.9"/>
    <n v="135.5"/>
    <n v="144.30000000000001"/>
    <n v="156.9"/>
    <n v="190.2"/>
    <n v="146.9"/>
    <n v="156.9"/>
    <n v="4090.0000000000009"/>
  </r>
  <r>
    <x v="2"/>
    <x v="7"/>
    <s v="December"/>
    <s v="December-2020"/>
    <s v="During_Covid"/>
    <n v="2109.1"/>
    <n v="454"/>
    <n v="308.10000000000002"/>
    <n v="315.39999999999998"/>
    <n v="144.6"/>
    <n v="140.69999999999999"/>
    <n v="148.5"/>
    <n v="159.4"/>
    <n v="185.4"/>
    <n v="151.19999999999999"/>
    <n v="158.9"/>
    <n v="4116.3999999999996"/>
  </r>
  <r>
    <x v="0"/>
    <x v="8"/>
    <s v="January"/>
    <s v="January-2021"/>
    <s v="During_Covid"/>
    <n v="2065.6999999999998"/>
    <n v="466.7"/>
    <n v="311.60000000000002"/>
    <n v="318.7"/>
    <n v="150.9"/>
    <n v="147.5"/>
    <n v="155.1"/>
    <n v="163.5"/>
    <n v="184.6"/>
    <n v="155.9"/>
    <n v="158.5"/>
    <n v="4120.1999999999989"/>
  </r>
  <r>
    <x v="1"/>
    <x v="8"/>
    <s v="January"/>
    <s v="January-2021"/>
    <s v="During_Covid"/>
    <n v="2097"/>
    <n v="440"/>
    <n v="303.39999999999998"/>
    <n v="311.79999999999995"/>
    <n v="142.9"/>
    <n v="136.9"/>
    <n v="145.4"/>
    <n v="156.1"/>
    <n v="191.8"/>
    <n v="147.6"/>
    <n v="156"/>
    <n v="4072.9"/>
  </r>
  <r>
    <x v="2"/>
    <x v="8"/>
    <s v="January"/>
    <s v="January-2021"/>
    <s v="During_Covid"/>
    <n v="2076.5"/>
    <n v="455.8"/>
    <n v="307.7"/>
    <n v="316.10000000000002"/>
    <n v="147.9"/>
    <n v="141.9"/>
    <n v="149.6"/>
    <n v="159.19999999999999"/>
    <n v="186.5"/>
    <n v="151.9"/>
    <n v="157.30000000000001"/>
    <n v="4093.1"/>
  </r>
  <r>
    <x v="0"/>
    <x v="8"/>
    <s v="February"/>
    <s v="February-2021"/>
    <s v="During_Covid"/>
    <n v="2025.3"/>
    <n v="471.4"/>
    <n v="314.60000000000002"/>
    <n v="319.5"/>
    <n v="154.4"/>
    <n v="150.19999999999999"/>
    <n v="157"/>
    <n v="163.6"/>
    <n v="186.5"/>
    <n v="157.19999999999999"/>
    <n v="156.69999999999999"/>
    <n v="4099.7"/>
  </r>
  <r>
    <x v="1"/>
    <x v="8"/>
    <s v="February"/>
    <s v="February-2021"/>
    <s v="During_Covid"/>
    <n v="2066"/>
    <n v="444.2"/>
    <n v="306.3"/>
    <n v="313"/>
    <n v="149.1"/>
    <n v="140.5"/>
    <n v="147.30000000000001"/>
    <n v="156.6"/>
    <n v="193.3"/>
    <n v="149.30000000000001"/>
    <n v="156.5"/>
    <n v="4065.6000000000004"/>
  </r>
  <r>
    <x v="2"/>
    <x v="8"/>
    <s v="February"/>
    <s v="February-2021"/>
    <s v="During_Covid"/>
    <n v="2039.3000000000002"/>
    <n v="460.40000000000003"/>
    <n v="310.70000000000005"/>
    <n v="317.10000000000002"/>
    <n v="152.4"/>
    <n v="145.1"/>
    <n v="151.5"/>
    <n v="159.5"/>
    <n v="188.3"/>
    <n v="153.4"/>
    <n v="156.6"/>
    <n v="4077.7000000000007"/>
  </r>
  <r>
    <x v="0"/>
    <x v="8"/>
    <s v="March"/>
    <s v="March-2021"/>
    <s v="During_Covid"/>
    <n v="2025.7"/>
    <n v="472.9"/>
    <n v="314.70000000000005"/>
    <n v="317.7"/>
    <n v="156"/>
    <n v="151.30000000000001"/>
    <n v="157.80000000000001"/>
    <n v="163.80000000000001"/>
    <n v="186.1"/>
    <n v="157.30000000000001"/>
    <n v="156.69999999999999"/>
    <n v="4103.3"/>
  </r>
  <r>
    <x v="1"/>
    <x v="8"/>
    <s v="March"/>
    <s v="March-2021"/>
    <s v="During_Covid"/>
    <n v="2064.4999999999995"/>
    <n v="446.4"/>
    <n v="307.10000000000002"/>
    <n v="311.8"/>
    <n v="154.80000000000001"/>
    <n v="141.69999999999999"/>
    <n v="148.6"/>
    <n v="157.6"/>
    <n v="193.5"/>
    <n v="150"/>
    <n v="156.9"/>
    <n v="4075.9999999999995"/>
  </r>
  <r>
    <x v="2"/>
    <x v="8"/>
    <s v="March"/>
    <s v="March-2021"/>
    <s v="During_Covid"/>
    <n v="2039.3999999999999"/>
    <n v="462.1"/>
    <n v="311.10000000000002"/>
    <n v="315.5"/>
    <n v="155.5"/>
    <n v="146.19999999999999"/>
    <n v="152.6"/>
    <n v="160.19999999999999"/>
    <n v="188.1"/>
    <n v="153.80000000000001"/>
    <n v="156.80000000000001"/>
    <n v="4084.4999999999995"/>
  </r>
  <r>
    <x v="0"/>
    <x v="8"/>
    <s v="April"/>
    <s v="April-2021"/>
    <s v="Post_Covid"/>
    <n v="2049.5"/>
    <n v="475.69999999999993"/>
    <n v="316.89999999999998"/>
    <n v="319.89999999999998"/>
    <n v="156"/>
    <n v="151.69999999999999"/>
    <n v="158.6"/>
    <n v="164.1"/>
    <n v="186.8"/>
    <n v="158"/>
    <n v="157.6"/>
    <n v="4137.2"/>
  </r>
  <r>
    <x v="1"/>
    <x v="8"/>
    <s v="April"/>
    <s v="April-2021"/>
    <s v="Post_Covid"/>
    <n v="2089.6"/>
    <n v="448.6"/>
    <n v="309"/>
    <n v="314.10000000000002"/>
    <n v="154.9"/>
    <n v="142.1"/>
    <n v="149.1"/>
    <n v="157.6"/>
    <n v="194.4"/>
    <n v="150.5"/>
    <n v="158"/>
    <n v="4109.8999999999996"/>
  </r>
  <r>
    <x v="2"/>
    <x v="8"/>
    <s v="April"/>
    <s v="April-2021"/>
    <s v="Post_Covid"/>
    <n v="2064.1"/>
    <n v="464.6"/>
    <n v="313.20000000000005"/>
    <n v="317.70000000000005"/>
    <n v="155.6"/>
    <n v="146.6"/>
    <n v="153.19999999999999"/>
    <n v="160.30000000000001"/>
    <n v="188.8"/>
    <n v="154.4"/>
    <n v="157.80000000000001"/>
    <n v="4118.4999999999991"/>
  </r>
  <r>
    <x v="0"/>
    <x v="8"/>
    <s v="May"/>
    <s v="May-2021"/>
    <s v="Post_Covid"/>
    <n v="2095.2999999999997"/>
    <n v="490.4"/>
    <n v="320.39999999999998"/>
    <n v="328.4"/>
    <n v="161.69999999999999"/>
    <n v="153.19999999999999"/>
    <n v="160"/>
    <n v="167.6"/>
    <n v="189.6"/>
    <n v="161.1"/>
    <n v="161.1"/>
    <n v="4227.7"/>
  </r>
  <r>
    <x v="1"/>
    <x v="8"/>
    <s v="May"/>
    <s v="May-2021"/>
    <s v="Post_Covid"/>
    <n v="2124.7000000000003"/>
    <n v="450.79999999999995"/>
    <n v="311.7"/>
    <n v="317.89999999999998"/>
    <n v="155.5"/>
    <n v="145"/>
    <n v="152.6"/>
    <n v="156.6"/>
    <n v="198.2"/>
    <n v="152.30000000000001"/>
    <n v="159.5"/>
    <n v="4165.2999999999993"/>
  </r>
  <r>
    <x v="2"/>
    <x v="8"/>
    <s v="May"/>
    <s v="May-2021"/>
    <s v="Post_Covid"/>
    <n v="2105.7000000000003"/>
    <n v="474.29999999999995"/>
    <n v="316.29999999999995"/>
    <n v="324.39999999999998"/>
    <n v="159.4"/>
    <n v="148.9"/>
    <n v="155.80000000000001"/>
    <n v="161.19999999999999"/>
    <n v="191.9"/>
    <n v="156.80000000000001"/>
    <n v="160.4"/>
    <n v="4194.7000000000007"/>
  </r>
  <r>
    <x v="0"/>
    <x v="8"/>
    <s v="June"/>
    <s v="June-2021"/>
    <s v="Post_Covid"/>
    <n v="2122.6"/>
    <n v="489.80000000000007"/>
    <n v="319.7"/>
    <n v="329.1"/>
    <n v="162.1"/>
    <n v="154.19999999999999"/>
    <n v="160.4"/>
    <n v="166.8"/>
    <n v="189.1"/>
    <n v="161.5"/>
    <n v="162.1"/>
    <n v="4255.2999999999993"/>
  </r>
  <r>
    <x v="1"/>
    <x v="8"/>
    <s v="June"/>
    <s v="June-2021"/>
    <s v="Post_Covid"/>
    <n v="2154.1999999999998"/>
    <n v="452.6"/>
    <n v="310.3"/>
    <n v="318.8"/>
    <n v="156.1"/>
    <n v="147.5"/>
    <n v="150.69999999999999"/>
    <n v="158.1"/>
    <n v="195.6"/>
    <n v="153.4"/>
    <n v="160.4"/>
    <n v="4197.2999999999993"/>
  </r>
  <r>
    <x v="2"/>
    <x v="8"/>
    <s v="June"/>
    <s v="June-2021"/>
    <s v="Post_Covid"/>
    <n v="2133.9"/>
    <n v="474.7"/>
    <n v="315.3"/>
    <n v="325.10000000000002"/>
    <n v="159.80000000000001"/>
    <n v="150.69999999999999"/>
    <n v="154.9"/>
    <n v="161.69999999999999"/>
    <n v="190.8"/>
    <n v="157.6"/>
    <n v="161.30000000000001"/>
    <n v="4224.5"/>
  </r>
  <r>
    <x v="0"/>
    <x v="8"/>
    <s v="July"/>
    <s v="July-2021"/>
    <s v="Post_Covid"/>
    <n v="2132.4"/>
    <n v="492.40000000000003"/>
    <n v="321.8"/>
    <n v="330.8"/>
    <n v="162.5"/>
    <n v="157.1"/>
    <n v="160.69999999999999"/>
    <n v="167.2"/>
    <n v="189.7"/>
    <n v="162.80000000000001"/>
    <n v="163.19999999999999"/>
    <n v="4277.4000000000005"/>
  </r>
  <r>
    <x v="1"/>
    <x v="8"/>
    <s v="July"/>
    <s v="July-2021"/>
    <s v="Post_Covid"/>
    <n v="2171.8000000000002"/>
    <n v="455.3"/>
    <n v="312.2"/>
    <n v="321.10000000000002"/>
    <n v="157.69999999999999"/>
    <n v="149.5"/>
    <n v="151.19999999999999"/>
    <n v="160.30000000000001"/>
    <n v="195.5"/>
    <n v="155"/>
    <n v="161.80000000000001"/>
    <n v="4229.6000000000004"/>
  </r>
  <r>
    <x v="2"/>
    <x v="8"/>
    <s v="July"/>
    <s v="July-2021"/>
    <s v="Post_Covid"/>
    <n v="2147"/>
    <n v="477.29999999999995"/>
    <n v="317.3"/>
    <n v="327.10000000000002"/>
    <n v="160.69999999999999"/>
    <n v="153.1"/>
    <n v="155.30000000000001"/>
    <n v="163.19999999999999"/>
    <n v="191.2"/>
    <n v="159"/>
    <n v="162.5"/>
    <n v="4251.2"/>
  </r>
  <r>
    <x v="0"/>
    <x v="8"/>
    <s v="August"/>
    <s v="August-2021"/>
    <s v="Post_Covid"/>
    <n v="2130.8000000000002"/>
    <n v="495.90000000000003"/>
    <n v="323"/>
    <n v="331.4"/>
    <n v="163.1"/>
    <n v="157.69999999999999"/>
    <n v="161.1"/>
    <n v="167.5"/>
    <n v="190.2"/>
    <n v="163.30000000000001"/>
    <n v="163.6"/>
    <n v="4284"/>
  </r>
  <r>
    <x v="1"/>
    <x v="8"/>
    <s v="August"/>
    <s v="August-2021"/>
    <s v="Post_Covid"/>
    <n v="2157.9"/>
    <n v="460.7"/>
    <n v="315.29999999999995"/>
    <n v="322.39999999999998"/>
    <n v="160.69999999999999"/>
    <n v="150.4"/>
    <n v="153.69999999999999"/>
    <n v="160.4"/>
    <n v="196.5"/>
    <n v="156"/>
    <n v="162.30000000000001"/>
    <n v="4234"/>
  </r>
  <r>
    <x v="2"/>
    <x v="8"/>
    <s v="August"/>
    <s v="August-2021"/>
    <s v="Post_Covid"/>
    <n v="2142"/>
    <n v="483"/>
    <n v="319.60000000000002"/>
    <n v="328.4"/>
    <n v="162.6"/>
    <n v="154"/>
    <n v="157.6"/>
    <n v="163.80000000000001"/>
    <n v="192.1"/>
    <n v="160"/>
    <n v="163.19999999999999"/>
    <n v="4263.1000000000004"/>
  </r>
  <r>
    <x v="0"/>
    <x v="8"/>
    <s v="September"/>
    <s v="September-2021"/>
    <s v="Post_Covid"/>
    <n v="2133.6"/>
    <n v="498.4"/>
    <n v="323.39999999999998"/>
    <n v="332.1"/>
    <n v="163.69999999999999"/>
    <n v="157.80000000000001"/>
    <n v="162.69999999999999"/>
    <n v="168.5"/>
    <n v="190.5"/>
    <n v="163.80000000000001"/>
    <n v="164"/>
    <n v="4294.5"/>
  </r>
  <r>
    <x v="1"/>
    <x v="8"/>
    <s v="September"/>
    <s v="September-2021"/>
    <s v="Post_Covid"/>
    <n v="2157.9"/>
    <n v="460.79999999999995"/>
    <n v="315.39999999999998"/>
    <n v="322.39999999999998"/>
    <n v="160.80000000000001"/>
    <n v="150.5"/>
    <n v="153.9"/>
    <n v="160.30000000000001"/>
    <n v="196.5"/>
    <n v="156"/>
    <n v="162.30000000000001"/>
    <n v="4234.5"/>
  </r>
  <r>
    <x v="2"/>
    <x v="8"/>
    <s v="September"/>
    <s v="September-2021"/>
    <s v="Post_Covid"/>
    <n v="2142"/>
    <n v="483.2"/>
    <n v="319.60000000000002"/>
    <n v="328.4"/>
    <n v="162.6"/>
    <n v="154"/>
    <n v="157.69999999999999"/>
    <n v="163.69999999999999"/>
    <n v="192.1"/>
    <n v="160"/>
    <n v="163.19999999999999"/>
    <n v="4263.2999999999993"/>
  </r>
  <r>
    <x v="0"/>
    <x v="8"/>
    <s v="October"/>
    <s v="October-2021"/>
    <s v="Post_Covid"/>
    <n v="2164.1999999999998"/>
    <n v="502.00000000000006"/>
    <n v="325.60000000000002"/>
    <n v="333.6"/>
    <n v="165.5"/>
    <n v="159.5"/>
    <n v="163.19999999999999"/>
    <n v="169"/>
    <n v="191.2"/>
    <n v="164.7"/>
    <n v="166.3"/>
    <n v="4338.4999999999991"/>
  </r>
  <r>
    <x v="1"/>
    <x v="8"/>
    <s v="October"/>
    <s v="October-2021"/>
    <s v="Post_Covid"/>
    <n v="2198.4000000000005"/>
    <n v="463.50000000000006"/>
    <n v="317.89999999999998"/>
    <n v="323.8"/>
    <n v="162.19999999999999"/>
    <n v="152.19999999999999"/>
    <n v="155.1"/>
    <n v="160.30000000000001"/>
    <n v="197"/>
    <n v="157"/>
    <n v="164.6"/>
    <n v="4287.4000000000005"/>
  </r>
  <r>
    <x v="2"/>
    <x v="8"/>
    <s v="October"/>
    <s v="October-2021"/>
    <s v="Post_Covid"/>
    <n v="2175.5"/>
    <n v="486.3"/>
    <n v="322"/>
    <n v="329.9"/>
    <n v="164.2"/>
    <n v="155.69999999999999"/>
    <n v="158.6"/>
    <n v="163.9"/>
    <n v="192.7"/>
    <n v="161"/>
    <n v="165.5"/>
    <n v="4309.8"/>
  </r>
  <r>
    <x v="0"/>
    <x v="8"/>
    <s v="November"/>
    <s v="November-2021"/>
    <s v="Post_Covid"/>
    <n v="2182"/>
    <n v="506.2"/>
    <n v="327.10000000000002"/>
    <n v="335.8"/>
    <n v="165.3"/>
    <n v="158.9"/>
    <n v="163.80000000000001"/>
    <n v="169.3"/>
    <n v="191.4"/>
    <n v="165.2"/>
    <n v="167.6"/>
    <n v="4365"/>
  </r>
  <r>
    <x v="1"/>
    <x v="8"/>
    <s v="November"/>
    <s v="November-2021"/>
    <s v="Post_Covid"/>
    <n v="2217.8999999999996"/>
    <n v="467.3"/>
    <n v="319.39999999999998"/>
    <n v="326"/>
    <n v="161.6"/>
    <n v="151.19999999999999"/>
    <n v="156.69999999999999"/>
    <n v="160.80000000000001"/>
    <n v="197"/>
    <n v="157.30000000000001"/>
    <n v="165.6"/>
    <n v="4315.2"/>
  </r>
  <r>
    <x v="2"/>
    <x v="8"/>
    <s v="November"/>
    <s v="November-2021"/>
    <s v="Post_Covid"/>
    <n v="2194.1"/>
    <n v="490.40000000000003"/>
    <n v="323.5"/>
    <n v="332.1"/>
    <n v="163.9"/>
    <n v="154.80000000000001"/>
    <n v="159.80000000000001"/>
    <n v="164.3"/>
    <n v="192.9"/>
    <n v="161.4"/>
    <n v="166.7"/>
    <n v="4337.2"/>
  </r>
  <r>
    <x v="0"/>
    <x v="8"/>
    <s v="December"/>
    <s v="December-2021"/>
    <s v="Post_Covid"/>
    <n v="2168.1999999999998"/>
    <n v="510.3"/>
    <n v="327.3"/>
    <n v="336.8"/>
    <n v="165.6"/>
    <n v="160.1"/>
    <n v="164.5"/>
    <n v="169.7"/>
    <n v="190.8"/>
    <n v="166"/>
    <n v="167"/>
    <n v="4359.3"/>
  </r>
  <r>
    <x v="1"/>
    <x v="8"/>
    <s v="December"/>
    <s v="December-2021"/>
    <s v="Post_Covid"/>
    <n v="2206.3000000000002"/>
    <n v="470.7"/>
    <n v="319.39999999999998"/>
    <n v="327.5"/>
    <n v="161.69999999999999"/>
    <n v="151.80000000000001"/>
    <n v="157.6"/>
    <n v="160.6"/>
    <n v="196.8"/>
    <n v="157.80000000000001"/>
    <n v="165.2"/>
    <n v="4310.2"/>
  </r>
  <r>
    <x v="2"/>
    <x v="8"/>
    <s v="December"/>
    <s v="December-2021"/>
    <s v="Post_Covid"/>
    <n v="2180.9"/>
    <n v="494.2"/>
    <n v="323.60000000000002"/>
    <n v="333.2"/>
    <n v="164.1"/>
    <n v="155.69999999999999"/>
    <n v="160.6"/>
    <n v="164.4"/>
    <n v="192.4"/>
    <n v="162"/>
    <n v="166.2"/>
    <n v="4331.0999999999995"/>
  </r>
  <r>
    <x v="0"/>
    <x v="9"/>
    <s v="January"/>
    <s v="January-2022"/>
    <s v="Post_Covid"/>
    <n v="2153"/>
    <n v="515.20000000000005"/>
    <n v="329.4"/>
    <n v="337.9"/>
    <n v="165.8"/>
    <n v="160.80000000000001"/>
    <n v="164.9"/>
    <n v="169.9"/>
    <n v="190.7"/>
    <n v="166.6"/>
    <n v="166.4"/>
    <n v="4354.2000000000007"/>
  </r>
  <r>
    <x v="1"/>
    <x v="9"/>
    <s v="January"/>
    <s v="January-2022"/>
    <s v="Post_Covid"/>
    <n v="2186.6999999999998"/>
    <n v="475.4"/>
    <n v="321.3"/>
    <n v="328.9"/>
    <n v="161.6"/>
    <n v="152.69999999999999"/>
    <n v="158.4"/>
    <n v="161"/>
    <n v="196.4"/>
    <n v="158.6"/>
    <n v="165"/>
    <n v="4301"/>
  </r>
  <r>
    <x v="2"/>
    <x v="9"/>
    <s v="January"/>
    <s v="January-2022"/>
    <s v="Post_Covid"/>
    <n v="2164.1999999999998"/>
    <n v="499.1"/>
    <n v="325.60000000000002"/>
    <n v="334.4"/>
    <n v="164.2"/>
    <n v="156.5"/>
    <n v="161.19999999999999"/>
    <n v="164.7"/>
    <n v="192.2"/>
    <n v="162.69999999999999"/>
    <n v="165.7"/>
    <n v="4324.7999999999993"/>
  </r>
  <r>
    <x v="0"/>
    <x v="9"/>
    <s v="February"/>
    <s v="February-2022"/>
    <s v="Post_Covid"/>
    <n v="2150.4"/>
    <n v="518.79999999999995"/>
    <n v="331.2"/>
    <n v="339.8"/>
    <n v="167.4"/>
    <n v="161.19999999999999"/>
    <n v="165.5"/>
    <n v="170.3"/>
    <n v="191.5"/>
    <n v="167.3"/>
    <n v="166.7"/>
    <n v="4363.4000000000005"/>
  </r>
  <r>
    <x v="1"/>
    <x v="9"/>
    <s v="February"/>
    <s v="February-2022"/>
    <s v="Post_Covid"/>
    <n v="2183.5"/>
    <n v="479.5"/>
    <n v="322.89999999999998"/>
    <n v="331.4"/>
    <n v="163"/>
    <n v="153.1"/>
    <n v="159.5"/>
    <n v="162"/>
    <n v="196.5"/>
    <n v="159.4"/>
    <n v="165.5"/>
    <n v="4310.7999999999993"/>
  </r>
  <r>
    <x v="2"/>
    <x v="9"/>
    <s v="February"/>
    <s v="February-2022"/>
    <s v="Post_Covid"/>
    <n v="2161.2000000000003"/>
    <n v="502.80000000000007"/>
    <n v="327.3"/>
    <n v="336.6"/>
    <n v="165.7"/>
    <n v="156.9"/>
    <n v="162.1"/>
    <n v="165.4"/>
    <n v="192.8"/>
    <n v="163.5"/>
    <n v="166.1"/>
    <n v="4334.3"/>
  </r>
  <r>
    <x v="0"/>
    <x v="9"/>
    <s v="March"/>
    <s v="March-2022"/>
    <s v="Post_Covid"/>
    <n v="2179.1000000000004"/>
    <n v="523.70000000000005"/>
    <n v="331.8"/>
    <n v="343.4"/>
    <n v="168.9"/>
    <n v="162"/>
    <n v="166.6"/>
    <n v="170.6"/>
    <n v="192.3"/>
    <n v="168.3"/>
    <n v="168.7"/>
    <n v="4406.7000000000007"/>
  </r>
  <r>
    <x v="1"/>
    <x v="9"/>
    <s v="March"/>
    <s v="March-2022"/>
    <s v="Post_Covid"/>
    <n v="2196.3000000000002"/>
    <n v="484.6"/>
    <n v="323.89999999999998"/>
    <n v="335"/>
    <n v="164.5"/>
    <n v="154.19999999999999"/>
    <n v="160.80000000000001"/>
    <n v="162.69999999999999"/>
    <n v="197.5"/>
    <n v="160.6"/>
    <n v="166.5"/>
    <n v="4340.1000000000004"/>
  </r>
  <r>
    <x v="2"/>
    <x v="9"/>
    <s v="March"/>
    <s v="March-2022"/>
    <s v="Post_Covid"/>
    <n v="2184.2000000000003"/>
    <n v="507.79999999999995"/>
    <n v="328.1"/>
    <n v="340.2"/>
    <n v="167.2"/>
    <n v="157.9"/>
    <n v="163.30000000000001"/>
    <n v="166"/>
    <n v="193.7"/>
    <n v="164.6"/>
    <n v="167.7"/>
    <n v="4373"/>
  </r>
  <r>
    <x v="0"/>
    <x v="9"/>
    <s v="April"/>
    <s v="April-2022"/>
    <s v="NA"/>
    <n v="2206.6"/>
    <n v="529.70000000000005"/>
    <n v="334.7"/>
    <n v="346"/>
    <n v="173.3"/>
    <n v="166.2"/>
    <n v="167.2"/>
    <n v="170.9"/>
    <n v="192.8"/>
    <n v="170.2"/>
    <n v="170.8"/>
    <n v="4457.5999999999995"/>
  </r>
  <r>
    <x v="1"/>
    <x v="9"/>
    <s v="April"/>
    <s v="April-2022"/>
    <s v="NA"/>
    <n v="2230.4"/>
    <n v="489.2"/>
    <n v="326.8"/>
    <n v="337.4"/>
    <n v="170.5"/>
    <n v="159.30000000000001"/>
    <n v="162.19999999999999"/>
    <n v="164"/>
    <n v="197.1"/>
    <n v="163.1"/>
    <n v="169.2"/>
    <n v="4400.0000000000009"/>
  </r>
  <r>
    <x v="2"/>
    <x v="9"/>
    <s v="April"/>
    <s v="April-2022"/>
    <s v="NA"/>
    <n v="2214.3000000000002"/>
    <n v="513.20000000000005"/>
    <n v="331"/>
    <n v="342.8"/>
    <n v="172.2"/>
    <n v="162.6"/>
    <n v="164.4"/>
    <n v="166.9"/>
    <n v="193.9"/>
    <n v="166.8"/>
    <n v="170.1"/>
    <n v="4428.1000000000004"/>
  </r>
  <r>
    <x v="0"/>
    <x v="9"/>
    <s v="May"/>
    <s v="May-2022"/>
    <s v="NA"/>
    <n v="2226.8000000000002"/>
    <n v="535.5"/>
    <n v="336.4"/>
    <n v="346.2"/>
    <n v="175.3"/>
    <n v="167.1"/>
    <n v="167.6"/>
    <n v="171.8"/>
    <n v="192.9"/>
    <n v="170.9"/>
    <n v="172.5"/>
    <n v="4490.4999999999991"/>
  </r>
  <r>
    <x v="1"/>
    <x v="9"/>
    <s v="May"/>
    <s v="May-2022"/>
    <s v="NA"/>
    <n v="2262.2000000000003"/>
    <n v="493.7"/>
    <n v="328.6"/>
    <n v="338.29999999999995"/>
    <n v="173.5"/>
    <n v="159.4"/>
    <n v="163.19999999999999"/>
    <n v="165.2"/>
    <n v="197.5"/>
    <n v="163.80000000000001"/>
    <n v="170.8"/>
    <n v="4445.4000000000005"/>
  </r>
  <r>
    <x v="2"/>
    <x v="9"/>
    <s v="May"/>
    <s v="May-2022"/>
    <s v="NA"/>
    <n v="2238.9000000000005"/>
    <n v="518.6"/>
    <n v="332.7"/>
    <n v="343.20000000000005"/>
    <n v="174.6"/>
    <n v="163"/>
    <n v="165.1"/>
    <n v="167.9"/>
    <n v="194.1"/>
    <n v="167.5"/>
    <n v="171.7"/>
    <n v="4465.6000000000004"/>
  </r>
  <r>
    <x v="0"/>
    <x v="9"/>
    <s v="June"/>
    <s v="June-2022"/>
    <s v="NA"/>
    <n v="2248.3000000000002"/>
    <n v="539.79999999999995"/>
    <n v="337.1"/>
    <n v="347.7"/>
    <n v="176.7"/>
    <n v="165.5"/>
    <n v="168"/>
    <n v="172.6"/>
    <n v="192.9"/>
    <n v="171"/>
    <n v="173.6"/>
    <n v="4519.5999999999995"/>
  </r>
  <r>
    <x v="1"/>
    <x v="9"/>
    <s v="June"/>
    <s v="June-2022"/>
    <s v="NA"/>
    <n v="2287.5"/>
    <n v="498.4"/>
    <n v="328.9"/>
    <n v="340.1"/>
    <n v="174.9"/>
    <n v="157.19999999999999"/>
    <n v="164.1"/>
    <n v="166.5"/>
    <n v="198.3"/>
    <n v="163.80000000000001"/>
    <n v="171.4"/>
    <n v="4479.7000000000007"/>
  </r>
  <r>
    <x v="2"/>
    <x v="9"/>
    <s v="June"/>
    <s v="June-2022"/>
    <s v="NA"/>
    <n v="2261.9"/>
    <n v="523"/>
    <n v="333.20000000000005"/>
    <n v="344.8"/>
    <n v="176"/>
    <n v="161.1"/>
    <n v="165.8"/>
    <n v="169"/>
    <n v="194.3"/>
    <n v="167.5"/>
    <n v="172.6"/>
    <n v="4496.6000000000013"/>
  </r>
  <r>
    <x v="0"/>
    <x v="9"/>
    <s v="July"/>
    <s v="July-2022"/>
    <s v="NA"/>
    <n v="2252.5"/>
    <n v="544"/>
    <n v="339.1"/>
    <n v="348.5"/>
    <n v="179.6"/>
    <n v="166.3"/>
    <n v="168.6"/>
    <n v="174.7"/>
    <n v="193.2"/>
    <n v="171.8"/>
    <n v="174.3"/>
    <n v="4538.3"/>
  </r>
  <r>
    <x v="1"/>
    <x v="9"/>
    <s v="July"/>
    <s v="July-2022"/>
    <s v="NA"/>
    <n v="2291.6"/>
    <n v="502"/>
    <n v="330.9"/>
    <n v="341.5"/>
    <n v="179.5"/>
    <n v="157.4"/>
    <n v="164.6"/>
    <n v="169.1"/>
    <n v="198.6"/>
    <n v="164.7"/>
    <n v="172.3"/>
    <n v="4499.9000000000005"/>
  </r>
  <r>
    <x v="2"/>
    <x v="9"/>
    <s v="July"/>
    <s v="July-2022"/>
    <s v="NA"/>
    <n v="2266.3000000000002"/>
    <n v="526.90000000000009"/>
    <n v="335.20000000000005"/>
    <n v="345.79999999999995"/>
    <n v="179.6"/>
    <n v="161.6"/>
    <n v="166.3"/>
    <n v="171.4"/>
    <n v="194.6"/>
    <n v="168.4"/>
    <n v="173.4"/>
    <n v="4516.1000000000004"/>
  </r>
  <r>
    <x v="0"/>
    <x v="9"/>
    <s v="August"/>
    <s v="August-2022"/>
    <s v="NA"/>
    <n v="2255.7999999999997"/>
    <n v="547.9"/>
    <n v="341.3"/>
    <n v="350.5"/>
    <n v="179.1"/>
    <n v="166.6"/>
    <n v="169.3"/>
    <n v="175.7"/>
    <n v="193.7"/>
    <n v="172.6"/>
    <n v="175.3"/>
    <n v="4552.5"/>
  </r>
  <r>
    <x v="1"/>
    <x v="9"/>
    <s v="August"/>
    <s v="August-2022"/>
    <s v="NA"/>
    <n v="2293.6999999999998"/>
    <n v="505.29999999999995"/>
    <n v="333.2"/>
    <n v="344"/>
    <n v="178.4"/>
    <n v="157.69999999999999"/>
    <n v="165.1"/>
    <n v="169.9"/>
    <n v="198.7"/>
    <n v="165.4"/>
    <n v="173.1"/>
    <n v="4511.3999999999987"/>
  </r>
  <r>
    <x v="2"/>
    <x v="9"/>
    <s v="August"/>
    <s v="August-2022"/>
    <s v="NA"/>
    <n v="2269.2000000000003"/>
    <n v="530.70000000000005"/>
    <n v="337.5"/>
    <n v="348"/>
    <n v="178.8"/>
    <n v="161.9"/>
    <n v="166.9"/>
    <n v="172.3"/>
    <n v="195"/>
    <n v="169.1"/>
    <n v="174.3"/>
    <n v="4529.4000000000015"/>
  </r>
  <r>
    <x v="0"/>
    <x v="9"/>
    <s v="September"/>
    <s v="September-2022"/>
    <s v="NA"/>
    <n v="2267.8000000000002"/>
    <n v="552.5"/>
    <n v="343.1"/>
    <n v="351"/>
    <n v="179.7"/>
    <n v="166.9"/>
    <n v="170"/>
    <n v="176.2"/>
    <n v="194.5"/>
    <n v="173.1"/>
    <n v="176.4"/>
    <n v="4574.8"/>
  </r>
  <r>
    <x v="1"/>
    <x v="9"/>
    <s v="September"/>
    <s v="September-2022"/>
    <s v="NA"/>
    <n v="2306.4"/>
    <n v="509.7"/>
    <n v="334.5"/>
    <n v="344.9"/>
    <n v="179.2"/>
    <n v="158.19999999999999"/>
    <n v="165.8"/>
    <n v="170.9"/>
    <n v="199.7"/>
    <n v="166.1"/>
    <n v="174.1"/>
    <n v="4535.3999999999996"/>
  </r>
  <r>
    <x v="2"/>
    <x v="9"/>
    <s v="September"/>
    <s v="September-2022"/>
    <s v="NA"/>
    <n v="2280.9"/>
    <n v="535.1"/>
    <n v="339"/>
    <n v="348.70000000000005"/>
    <n v="179.5"/>
    <n v="162.30000000000001"/>
    <n v="167.6"/>
    <n v="173.1"/>
    <n v="195.9"/>
    <n v="169.7"/>
    <n v="175.3"/>
    <n v="4551.7999999999993"/>
  </r>
  <r>
    <x v="0"/>
    <x v="9"/>
    <s v="October"/>
    <s v="October-2022"/>
    <s v="NA"/>
    <n v="2284.5"/>
    <n v="556.4"/>
    <n v="345.6"/>
    <n v="353.2"/>
    <n v="180.8"/>
    <n v="167.4"/>
    <n v="170.6"/>
    <n v="176.5"/>
    <n v="194.9"/>
    <n v="173.9"/>
    <n v="177.9"/>
    <n v="4603.7999999999993"/>
  </r>
  <r>
    <x v="1"/>
    <x v="9"/>
    <s v="October"/>
    <s v="October-2022"/>
    <s v="NA"/>
    <n v="2322.3000000000002"/>
    <n v="511.70000000000005"/>
    <n v="337.2"/>
    <n v="347"/>
    <n v="180"/>
    <n v="158.80000000000001"/>
    <n v="166.3"/>
    <n v="171.2"/>
    <n v="200.1"/>
    <n v="166.8"/>
    <n v="175.3"/>
    <n v="4561.4000000000005"/>
  </r>
  <r>
    <x v="2"/>
    <x v="9"/>
    <s v="October"/>
    <s v="October-2022"/>
    <s v="NA"/>
    <n v="2297.3000000000002"/>
    <n v="538.20000000000005"/>
    <n v="341.6"/>
    <n v="350.79999999999995"/>
    <n v="180.5"/>
    <n v="162.9"/>
    <n v="168.2"/>
    <n v="173.4"/>
    <n v="196.3"/>
    <n v="170.5"/>
    <n v="176.7"/>
    <n v="4579.7"/>
  </r>
  <r>
    <x v="0"/>
    <x v="9"/>
    <s v="November"/>
    <s v="November-2022"/>
    <s v="NA"/>
    <n v="2287.6999999999998"/>
    <n v="559.29999999999995"/>
    <n v="347.3"/>
    <n v="355.70000000000005"/>
    <n v="181.9"/>
    <n v="167.5"/>
    <n v="170.8"/>
    <n v="176.9"/>
    <n v="195.5"/>
    <n v="174.6"/>
    <n v="177.8"/>
    <n v="4617.2000000000007"/>
  </r>
  <r>
    <x v="1"/>
    <x v="9"/>
    <s v="November"/>
    <s v="November-2022"/>
    <s v="NA"/>
    <n v="2314.4"/>
    <n v="514.9"/>
    <n v="338.70000000000005"/>
    <n v="349.6"/>
    <n v="180.3"/>
    <n v="158.9"/>
    <n v="166.7"/>
    <n v="171.5"/>
    <n v="200.6"/>
    <n v="167.4"/>
    <n v="174.1"/>
    <n v="4563"/>
  </r>
  <r>
    <x v="2"/>
    <x v="9"/>
    <s v="November"/>
    <s v="November-2022"/>
    <s v="NA"/>
    <n v="2296.8000000000002"/>
    <n v="541.4"/>
    <n v="343.20000000000005"/>
    <n v="353.4"/>
    <n v="181.3"/>
    <n v="163"/>
    <n v="168.5"/>
    <n v="173.7"/>
    <n v="196.9"/>
    <n v="171.1"/>
    <n v="176.5"/>
    <n v="4589.3000000000011"/>
  </r>
  <r>
    <x v="0"/>
    <x v="9"/>
    <s v="December"/>
    <s v="December-2022"/>
    <s v="NA"/>
    <n v="2277.1"/>
    <n v="561.79999999999995"/>
    <n v="347.1"/>
    <n v="359.2"/>
    <n v="182.8"/>
    <n v="167.8"/>
    <n v="171.2"/>
    <n v="177.3"/>
    <n v="195.9"/>
    <n v="175.5"/>
    <n v="177.1"/>
    <n v="4615.6999999999989"/>
  </r>
  <r>
    <x v="1"/>
    <x v="9"/>
    <s v="December"/>
    <s v="December-2022"/>
    <s v="NA"/>
    <n v="2295.7999999999997"/>
    <n v="517.9"/>
    <n v="338"/>
    <n v="353.2"/>
    <n v="180.6"/>
    <n v="159.4"/>
    <n v="167.1"/>
    <n v="171.8"/>
    <n v="201.1"/>
    <n v="168.2"/>
    <n v="174.1"/>
    <n v="4553.0999999999995"/>
  </r>
  <r>
    <x v="2"/>
    <x v="9"/>
    <s v="December"/>
    <s v="December-2022"/>
    <s v="NA"/>
    <n v="2283.4"/>
    <n v="544"/>
    <n v="342.79999999999995"/>
    <n v="356.9"/>
    <n v="182"/>
    <n v="163.4"/>
    <n v="168.9"/>
    <n v="174.1"/>
    <n v="197.3"/>
    <n v="172"/>
    <n v="175.7"/>
    <n v="4584.8"/>
  </r>
  <r>
    <x v="0"/>
    <x v="10"/>
    <s v="January"/>
    <s v="January-2023"/>
    <s v="NA"/>
    <n v="2283.2000000000003"/>
    <n v="563.9"/>
    <n v="349.29999999999995"/>
    <n v="363.1"/>
    <n v="183.2"/>
    <n v="168.2"/>
    <n v="171.8"/>
    <n v="177.8"/>
    <n v="196.9"/>
    <n v="176.5"/>
    <n v="177.8"/>
    <n v="4633.8999999999996"/>
  </r>
  <r>
    <x v="1"/>
    <x v="10"/>
    <s v="January"/>
    <s v="January-2023"/>
    <s v="NA"/>
    <n v="2310.2000000000003"/>
    <n v="520.6"/>
    <n v="340.1"/>
    <n v="357.3"/>
    <n v="180.1"/>
    <n v="159.5"/>
    <n v="167.8"/>
    <n v="171.8"/>
    <n v="201.6"/>
    <n v="168.9"/>
    <n v="174.9"/>
    <n v="4577.9000000000005"/>
  </r>
  <r>
    <x v="2"/>
    <x v="10"/>
    <s v="January"/>
    <s v="January-2023"/>
    <s v="NA"/>
    <n v="2292.6999999999998"/>
    <n v="546.29999999999995"/>
    <n v="345"/>
    <n v="360.9"/>
    <n v="182"/>
    <n v="163.6"/>
    <n v="169.5"/>
    <n v="174.3"/>
    <n v="198.2"/>
    <n v="172.8"/>
    <n v="176.5"/>
    <n v="4605.3"/>
  </r>
  <r>
    <x v="0"/>
    <x v="10"/>
    <s v="February"/>
    <s v="February-2023"/>
    <s v="NA"/>
    <n v="2265.6999999999998"/>
    <n v="566.6"/>
    <n v="352.1"/>
    <n v="367.29999999999995"/>
    <n v="181.6"/>
    <n v="169"/>
    <n v="172.8"/>
    <n v="178.5"/>
    <n v="198.3"/>
    <n v="177.9"/>
    <n v="178"/>
    <n v="4629.8"/>
  </r>
  <r>
    <x v="1"/>
    <x v="10"/>
    <s v="February"/>
    <s v="February-2023"/>
    <s v="NA"/>
    <n v="2303.1999999999998"/>
    <n v="525.5"/>
    <n v="342.7"/>
    <n v="362.20000000000005"/>
    <n v="182.8"/>
    <n v="159.80000000000001"/>
    <n v="168.4"/>
    <n v="172.5"/>
    <n v="202.7"/>
    <n v="170"/>
    <n v="176.3"/>
    <n v="4589.8"/>
  </r>
  <r>
    <x v="2"/>
    <x v="10"/>
    <s v="February"/>
    <s v="February-2023"/>
    <s v="NA"/>
    <n v="2279.1"/>
    <n v="550"/>
    <n v="347.7"/>
    <n v="365.4"/>
    <n v="182.1"/>
    <n v="164.2"/>
    <n v="170.3"/>
    <n v="175"/>
    <n v="199.5"/>
    <n v="174.1"/>
    <n v="177.2"/>
    <n v="4607.3999999999996"/>
  </r>
  <r>
    <x v="0"/>
    <x v="10"/>
    <s v="March"/>
    <s v="March-2023"/>
    <s v="NA"/>
    <n v="2265.8000000000002"/>
    <n v="566.6"/>
    <n v="352.1"/>
    <n v="367.29999999999995"/>
    <n v="181.4"/>
    <n v="169"/>
    <n v="172.8"/>
    <n v="178.5"/>
    <n v="198.4"/>
    <n v="177.9"/>
    <n v="178"/>
    <n v="4629.7999999999993"/>
  </r>
  <r>
    <x v="1"/>
    <x v="10"/>
    <s v="March"/>
    <s v="March-2023"/>
    <s v="NA"/>
    <n v="2303.4"/>
    <n v="525.4"/>
    <n v="342.7"/>
    <n v="362.3"/>
    <n v="182.6"/>
    <n v="159.80000000000001"/>
    <n v="168.4"/>
    <n v="172.5"/>
    <n v="202.7"/>
    <n v="170"/>
    <n v="176.3"/>
    <n v="4589.8"/>
  </r>
  <r>
    <x v="2"/>
    <x v="10"/>
    <s v="March"/>
    <s v="March-2023"/>
    <s v="NA"/>
    <n v="2279.1999999999998"/>
    <n v="549.9"/>
    <n v="347.7"/>
    <n v="365.4"/>
    <n v="181.9"/>
    <n v="164.2"/>
    <n v="170.3"/>
    <n v="175"/>
    <n v="199.5"/>
    <n v="174.1"/>
    <n v="177.2"/>
    <n v="4607.2000000000007"/>
  </r>
  <r>
    <x v="0"/>
    <x v="10"/>
    <s v="April"/>
    <s v="April-2023"/>
    <s v="NA"/>
    <n v="2274.1999999999998"/>
    <n v="568.20000000000005"/>
    <n v="354.29999999999995"/>
    <n v="371"/>
    <n v="181.5"/>
    <n v="169.4"/>
    <n v="173.2"/>
    <n v="179.4"/>
    <n v="199.5"/>
    <n v="178.9"/>
    <n v="178.8"/>
    <n v="4649.5999999999995"/>
  </r>
  <r>
    <x v="1"/>
    <x v="10"/>
    <s v="April"/>
    <s v="April-2023"/>
    <s v="NA"/>
    <n v="2317.7000000000003"/>
    <n v="527.6"/>
    <n v="344.79999999999995"/>
    <n v="365.9"/>
    <n v="182.1"/>
    <n v="160.1"/>
    <n v="168.8"/>
    <n v="174.2"/>
    <n v="203.5"/>
    <n v="170.9"/>
    <n v="177.4"/>
    <n v="4615.6000000000004"/>
  </r>
  <r>
    <x v="2"/>
    <x v="10"/>
    <s v="April"/>
    <s v="April-2023"/>
    <s v="NA"/>
    <n v="2289.6000000000004"/>
    <n v="551.79999999999995"/>
    <n v="349.79999999999995"/>
    <n v="369"/>
    <n v="181.7"/>
    <n v="164.5"/>
    <n v="170.7"/>
    <n v="176.4"/>
    <n v="200.6"/>
    <n v="175"/>
    <n v="178.1"/>
    <n v="4629.1000000000004"/>
  </r>
  <r>
    <x v="0"/>
    <x v="10"/>
    <s v="May"/>
    <s v="May-2023"/>
    <s v="NA"/>
    <n v="2290.7000000000007"/>
    <n v="569.90000000000009"/>
    <n v="355.4"/>
    <n v="372.70000000000005"/>
    <n v="182.5"/>
    <n v="169.7"/>
    <n v="173.8"/>
    <n v="180.3"/>
    <n v="199.9"/>
    <n v="179.5"/>
    <n v="179.8"/>
    <n v="4674.4000000000005"/>
  </r>
  <r>
    <x v="1"/>
    <x v="10"/>
    <s v="May"/>
    <s v="May-2023"/>
    <s v="NA"/>
    <n v="2335.1"/>
    <n v="528.70000000000005"/>
    <n v="345.7"/>
    <n v="367.79999999999995"/>
    <n v="183.4"/>
    <n v="160.4"/>
    <n v="169.2"/>
    <n v="174.8"/>
    <n v="204.2"/>
    <n v="171.6"/>
    <n v="178.2"/>
    <n v="4640.9000000000005"/>
  </r>
  <r>
    <x v="2"/>
    <x v="10"/>
    <s v="May"/>
    <s v="May-2023"/>
    <s v="NA"/>
    <n v="2306.9"/>
    <n v="553.20000000000005"/>
    <n v="350.79999999999995"/>
    <n v="370.9"/>
    <n v="182.8"/>
    <n v="164.8"/>
    <n v="171.2"/>
    <n v="177.1"/>
    <n v="201"/>
    <n v="175.7"/>
    <n v="179.1"/>
    <n v="4654.40000000000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69">
  <r>
    <x v="0"/>
    <x v="0"/>
    <s v="January"/>
    <s v="January-2013"/>
    <x v="0"/>
    <n v="1371.6999999999998"/>
    <n v="318.70000000000005"/>
    <n v="205.1"/>
    <n v="208.7"/>
    <n v="105.5"/>
    <n v="103.3"/>
    <n v="103.4"/>
    <n v="103.8"/>
    <n v="105.1"/>
    <n v="104"/>
    <n v="105.1"/>
    <n v="2729.3"/>
  </r>
  <r>
    <x v="1"/>
    <x v="0"/>
    <s v="January"/>
    <s v="January-2013"/>
    <x v="0"/>
    <n v="1376.4"/>
    <n v="316.7"/>
    <n v="205.1"/>
    <n v="208.39999999999998"/>
    <n v="105.4"/>
    <n v="103.2"/>
    <n v="102.9"/>
    <n v="103.5"/>
    <n v="105.2"/>
    <n v="103.7"/>
    <n v="104"/>
    <n v="2730.4999999999995"/>
  </r>
  <r>
    <x v="2"/>
    <x v="0"/>
    <s v="January"/>
    <s v="January-2013"/>
    <x v="0"/>
    <n v="1373.3000000000002"/>
    <n v="318"/>
    <n v="205.1"/>
    <n v="208.5"/>
    <n v="105.5"/>
    <n v="103.2"/>
    <n v="103.1"/>
    <n v="103.6"/>
    <n v="105.1"/>
    <n v="103.9"/>
    <n v="104.6"/>
    <n v="2729.2999999999997"/>
  </r>
  <r>
    <x v="0"/>
    <x v="0"/>
    <s v="February"/>
    <s v="February-2013"/>
    <x v="0"/>
    <n v="1380.3999999999999"/>
    <n v="320.39999999999998"/>
    <n v="205.60000000000002"/>
    <n v="209"/>
    <n v="106.2"/>
    <n v="103.9"/>
    <n v="104"/>
    <n v="104.1"/>
    <n v="105.6"/>
    <n v="104.4"/>
    <n v="105.8"/>
    <n v="2743.5999999999995"/>
  </r>
  <r>
    <x v="1"/>
    <x v="0"/>
    <s v="February"/>
    <s v="February-2013"/>
    <x v="0"/>
    <n v="1390.6000000000001"/>
    <n v="318.5"/>
    <n v="205.60000000000002"/>
    <n v="209"/>
    <n v="105.7"/>
    <n v="104.4"/>
    <n v="103.3"/>
    <n v="103.7"/>
    <n v="106"/>
    <n v="104.3"/>
    <n v="104.7"/>
    <n v="2751.1000000000004"/>
  </r>
  <r>
    <x v="2"/>
    <x v="0"/>
    <s v="February"/>
    <s v="February-2013"/>
    <x v="0"/>
    <n v="1384.2"/>
    <n v="319.7"/>
    <n v="205.60000000000002"/>
    <n v="209"/>
    <n v="106"/>
    <n v="104.2"/>
    <n v="103.6"/>
    <n v="103.9"/>
    <n v="105.7"/>
    <n v="104.4"/>
    <n v="105.3"/>
    <n v="2746.2999999999997"/>
  </r>
  <r>
    <x v="0"/>
    <x v="0"/>
    <s v="March"/>
    <s v="March-2013"/>
    <x v="0"/>
    <n v="1382.2"/>
    <n v="321.89999999999998"/>
    <n v="206"/>
    <n v="209"/>
    <n v="106.1"/>
    <n v="104.6"/>
    <n v="104"/>
    <n v="104.3"/>
    <n v="106.5"/>
    <n v="104.6"/>
    <n v="106"/>
    <n v="2749.2"/>
  </r>
  <r>
    <x v="1"/>
    <x v="0"/>
    <s v="March"/>
    <s v="March-2013"/>
    <x v="0"/>
    <n v="1386.8"/>
    <n v="320.2"/>
    <n v="206.10000000000002"/>
    <n v="209.4"/>
    <n v="106"/>
    <n v="105.5"/>
    <n v="103.5"/>
    <n v="103.8"/>
    <n v="106.8"/>
    <n v="104.9"/>
    <n v="105"/>
    <n v="2753.0000000000005"/>
  </r>
  <r>
    <x v="2"/>
    <x v="0"/>
    <s v="March"/>
    <s v="March-2013"/>
    <x v="0"/>
    <n v="1384.0000000000002"/>
    <n v="321.2"/>
    <n v="206"/>
    <n v="209.2"/>
    <n v="106.1"/>
    <n v="105.1"/>
    <n v="103.7"/>
    <n v="104"/>
    <n v="106.6"/>
    <n v="104.7"/>
    <n v="105.5"/>
    <n v="2750.5999999999995"/>
  </r>
  <r>
    <x v="0"/>
    <x v="0"/>
    <s v="April"/>
    <s v="April-2013"/>
    <x v="0"/>
    <n v="1385.8"/>
    <n v="323.5"/>
    <n v="206.6"/>
    <n v="207.8"/>
    <n v="106.5"/>
    <n v="104.4"/>
    <n v="104.5"/>
    <n v="104.8"/>
    <n v="107.1"/>
    <n v="104.6"/>
    <n v="106.4"/>
    <n v="2755.6"/>
  </r>
  <r>
    <x v="1"/>
    <x v="0"/>
    <s v="April"/>
    <s v="April-2013"/>
    <x v="0"/>
    <n v="1397.6999999999998"/>
    <n v="322"/>
    <n v="207"/>
    <n v="208.9"/>
    <n v="106.4"/>
    <n v="105"/>
    <n v="104"/>
    <n v="105.2"/>
    <n v="108.5"/>
    <n v="105.1"/>
    <n v="105.7"/>
    <n v="2769.7999999999997"/>
  </r>
  <r>
    <x v="2"/>
    <x v="0"/>
    <s v="April"/>
    <s v="April-2013"/>
    <x v="0"/>
    <n v="1390.2"/>
    <n v="322.89999999999998"/>
    <n v="206.8"/>
    <n v="208.2"/>
    <n v="106.5"/>
    <n v="104.7"/>
    <n v="104.2"/>
    <n v="105"/>
    <n v="107.5"/>
    <n v="104.8"/>
    <n v="106.1"/>
    <n v="2760.7999999999997"/>
  </r>
  <r>
    <x v="0"/>
    <x v="0"/>
    <s v="May"/>
    <s v="May-2013"/>
    <x v="0"/>
    <n v="1394"/>
    <n v="325.29999999999995"/>
    <n v="207.3"/>
    <n v="207.8"/>
    <n v="107.5"/>
    <n v="104.1"/>
    <n v="105"/>
    <n v="105.5"/>
    <n v="108.1"/>
    <n v="104.8"/>
    <n v="107.2"/>
    <n v="2769.4"/>
  </r>
  <r>
    <x v="1"/>
    <x v="0"/>
    <s v="May"/>
    <s v="May-2013"/>
    <x v="0"/>
    <n v="1417.1999999999998"/>
    <n v="323.5"/>
    <n v="207.6"/>
    <n v="208.8"/>
    <n v="107.2"/>
    <n v="103.9"/>
    <n v="104.6"/>
    <n v="105.7"/>
    <n v="109.8"/>
    <n v="104.9"/>
    <n v="106.6"/>
    <n v="2793.2"/>
  </r>
  <r>
    <x v="2"/>
    <x v="0"/>
    <s v="May"/>
    <s v="May-2013"/>
    <x v="0"/>
    <n v="1402.1999999999998"/>
    <n v="324.60000000000002"/>
    <n v="207.4"/>
    <n v="208.2"/>
    <n v="107.4"/>
    <n v="104"/>
    <n v="104.8"/>
    <n v="105.6"/>
    <n v="108.6"/>
    <n v="104.8"/>
    <n v="106.9"/>
    <n v="2777.6"/>
  </r>
  <r>
    <x v="0"/>
    <x v="0"/>
    <s v="June"/>
    <s v="June-2013"/>
    <x v="0"/>
    <n v="1420"/>
    <n v="328"/>
    <n v="214.1"/>
    <n v="208.8"/>
    <n v="108.5"/>
    <n v="105"/>
    <n v="105.6"/>
    <n v="106.5"/>
    <n v="109"/>
    <n v="105.5"/>
    <n v="108.9"/>
    <n v="2811"/>
  </r>
  <r>
    <x v="1"/>
    <x v="0"/>
    <s v="June"/>
    <s v="June-2013"/>
    <x v="0"/>
    <n v="1464.6000000000001"/>
    <n v="325.3"/>
    <n v="214.3"/>
    <n v="209.8"/>
    <n v="108"/>
    <n v="105.2"/>
    <n v="105.2"/>
    <n v="108.1"/>
    <n v="110.9"/>
    <n v="106.1"/>
    <n v="109.7"/>
    <n v="2857.4999999999995"/>
  </r>
  <r>
    <x v="2"/>
    <x v="0"/>
    <s v="June"/>
    <s v="June-2013"/>
    <x v="0"/>
    <n v="1436"/>
    <n v="326.89999999999998"/>
    <n v="214.2"/>
    <n v="209.2"/>
    <n v="108.3"/>
    <n v="105.1"/>
    <n v="105.4"/>
    <n v="107.4"/>
    <n v="109.5"/>
    <n v="105.8"/>
    <n v="109.3"/>
    <n v="2827.8000000000006"/>
  </r>
  <r>
    <x v="0"/>
    <x v="0"/>
    <s v="July"/>
    <s v="July-2013"/>
    <x v="0"/>
    <n v="1445.8999999999996"/>
    <n v="330.3"/>
    <n v="216"/>
    <n v="209.4"/>
    <n v="109.5"/>
    <n v="106.8"/>
    <n v="106.4"/>
    <n v="107.8"/>
    <n v="109.8"/>
    <n v="106.5"/>
    <n v="110.7"/>
    <n v="2848.4"/>
  </r>
  <r>
    <x v="1"/>
    <x v="0"/>
    <s v="July"/>
    <s v="July-2013"/>
    <x v="0"/>
    <n v="1489.4"/>
    <n v="327.10000000000002"/>
    <n v="215.8"/>
    <n v="210.3"/>
    <n v="108.6"/>
    <n v="107.3"/>
    <n v="105.9"/>
    <n v="110.1"/>
    <n v="111.7"/>
    <n v="107.3"/>
    <n v="111.4"/>
    <n v="2893.5"/>
  </r>
  <r>
    <x v="2"/>
    <x v="0"/>
    <s v="July"/>
    <s v="July-2013"/>
    <x v="0"/>
    <n v="1461.3999999999999"/>
    <n v="329"/>
    <n v="215.9"/>
    <n v="209.8"/>
    <n v="109.2"/>
    <n v="107.1"/>
    <n v="106.1"/>
    <n v="109.1"/>
    <n v="110.3"/>
    <n v="106.9"/>
    <n v="111"/>
    <n v="2864.7999999999997"/>
  </r>
  <r>
    <x v="0"/>
    <x v="0"/>
    <s v="August"/>
    <s v="August-2013"/>
    <x v="0"/>
    <n v="1462.5"/>
    <n v="332.6"/>
    <n v="217.60000000000002"/>
    <n v="212.5"/>
    <n v="109.9"/>
    <n v="107.8"/>
    <n v="106.8"/>
    <n v="108.7"/>
    <n v="110.7"/>
    <n v="107.5"/>
    <n v="112.1"/>
    <n v="2876.6"/>
  </r>
  <r>
    <x v="1"/>
    <x v="0"/>
    <s v="August"/>
    <s v="August-2013"/>
    <x v="0"/>
    <n v="1506.1000000000001"/>
    <n v="329.09999999999997"/>
    <n v="217.60000000000002"/>
    <n v="213.6"/>
    <n v="109.3"/>
    <n v="108.1"/>
    <n v="106.5"/>
    <n v="110.8"/>
    <n v="112.4"/>
    <n v="108.3"/>
    <n v="112.7"/>
    <n v="2921.8000000000006"/>
  </r>
  <r>
    <x v="2"/>
    <x v="0"/>
    <s v="August"/>
    <s v="August-2013"/>
    <x v="0"/>
    <n v="1477.4"/>
    <n v="331.1"/>
    <n v="217.60000000000002"/>
    <n v="212.9"/>
    <n v="109.7"/>
    <n v="108"/>
    <n v="106.6"/>
    <n v="109.9"/>
    <n v="111.2"/>
    <n v="107.9"/>
    <n v="112.4"/>
    <n v="2892.2999999999997"/>
  </r>
  <r>
    <x v="0"/>
    <x v="0"/>
    <s v="September"/>
    <s v="September-2013"/>
    <x v="0"/>
    <n v="1488.5000000000002"/>
    <n v="336.6"/>
    <n v="219.3"/>
    <n v="215"/>
    <n v="111.1"/>
    <n v="109.3"/>
    <n v="107.7"/>
    <n v="109.8"/>
    <n v="111.7"/>
    <n v="108.7"/>
    <n v="114.2"/>
    <n v="2917.7000000000003"/>
  </r>
  <r>
    <x v="1"/>
    <x v="0"/>
    <s v="September"/>
    <s v="September-2013"/>
    <x v="0"/>
    <n v="1500.4"/>
    <n v="331.5"/>
    <n v="219.3"/>
    <n v="214.8"/>
    <n v="109.5"/>
    <n v="110.4"/>
    <n v="107.4"/>
    <n v="111.2"/>
    <n v="112.9"/>
    <n v="109.4"/>
    <n v="113.2"/>
    <n v="2926.8000000000006"/>
  </r>
  <r>
    <x v="2"/>
    <x v="0"/>
    <s v="September"/>
    <s v="September-2013"/>
    <x v="0"/>
    <n v="1491.6999999999998"/>
    <n v="334.5"/>
    <n v="219.3"/>
    <n v="214.89999999999998"/>
    <n v="110.5"/>
    <n v="109.9"/>
    <n v="107.5"/>
    <n v="110.6"/>
    <n v="112"/>
    <n v="109"/>
    <n v="113.7"/>
    <n v="2919.8999999999996"/>
  </r>
  <r>
    <x v="0"/>
    <x v="0"/>
    <s v="October"/>
    <s v="October-2013"/>
    <x v="0"/>
    <n v="1508"/>
    <n v="339.29999999999995"/>
    <n v="220.9"/>
    <n v="216.4"/>
    <n v="111.6"/>
    <n v="109.3"/>
    <n v="108.3"/>
    <n v="110.2"/>
    <n v="112.2"/>
    <n v="109.1"/>
    <n v="115.5"/>
    <n v="2945.2999999999997"/>
  </r>
  <r>
    <x v="1"/>
    <x v="0"/>
    <s v="October"/>
    <s v="October-2013"/>
    <x v="0"/>
    <n v="1517.1999999999998"/>
    <n v="334.2"/>
    <n v="220.7"/>
    <n v="215.5"/>
    <n v="109.7"/>
    <n v="109.7"/>
    <n v="108"/>
    <n v="111.3"/>
    <n v="113.5"/>
    <n v="109.4"/>
    <n v="114"/>
    <n v="2949.2"/>
  </r>
  <r>
    <x v="2"/>
    <x v="0"/>
    <s v="October"/>
    <s v="October-2013"/>
    <x v="0"/>
    <n v="1510.2000000000003"/>
    <n v="337.2"/>
    <n v="220.8"/>
    <n v="216"/>
    <n v="110.9"/>
    <n v="109.5"/>
    <n v="108.1"/>
    <n v="110.8"/>
    <n v="112.5"/>
    <n v="109.2"/>
    <n v="114.8"/>
    <n v="2945.2000000000003"/>
  </r>
  <r>
    <x v="0"/>
    <x v="0"/>
    <s v="November "/>
    <s v="November -2013"/>
    <x v="0"/>
    <n v="1536.8"/>
    <n v="342.1"/>
    <n v="222.39999999999998"/>
    <n v="217.9"/>
    <n v="112.6"/>
    <n v="109.6"/>
    <n v="108.7"/>
    <n v="111"/>
    <n v="112.8"/>
    <n v="109.8"/>
    <n v="117.4"/>
    <n v="2983.7000000000003"/>
  </r>
  <r>
    <x v="1"/>
    <x v="0"/>
    <s v="November"/>
    <s v="November-2013"/>
    <x v="0"/>
    <n v="1544.6"/>
    <n v="336.8"/>
    <n v="222"/>
    <n v="216.5"/>
    <n v="110"/>
    <n v="109.5"/>
    <n v="108.5"/>
    <n v="111.3"/>
    <n v="114.1"/>
    <n v="109.6"/>
    <n v="115"/>
    <n v="2982.8999999999996"/>
  </r>
  <r>
    <x v="2"/>
    <x v="0"/>
    <s v="November"/>
    <s v="November-2013"/>
    <x v="0"/>
    <n v="1538.8"/>
    <n v="339.90000000000003"/>
    <n v="222.2"/>
    <n v="217.39999999999998"/>
    <n v="111.6"/>
    <n v="109.5"/>
    <n v="108.6"/>
    <n v="111.2"/>
    <n v="113.1"/>
    <n v="109.7"/>
    <n v="116.3"/>
    <n v="2981.9999999999995"/>
  </r>
  <r>
    <x v="0"/>
    <x v="0"/>
    <s v="December"/>
    <s v="December-2013"/>
    <x v="0"/>
    <n v="1509"/>
    <n v="345.3"/>
    <n v="222.8"/>
    <n v="218.2"/>
    <n v="112.8"/>
    <n v="109.9"/>
    <n v="109.2"/>
    <n v="111.6"/>
    <n v="113.6"/>
    <n v="110.1"/>
    <n v="115.5"/>
    <n v="2962.4999999999995"/>
  </r>
  <r>
    <x v="1"/>
    <x v="0"/>
    <s v="December"/>
    <s v="December-2013"/>
    <x v="0"/>
    <n v="1504.4"/>
    <n v="338.8"/>
    <n v="222"/>
    <n v="216.7"/>
    <n v="110.4"/>
    <n v="109.7"/>
    <n v="108.9"/>
    <n v="111.4"/>
    <n v="115"/>
    <n v="109.8"/>
    <n v="113.3"/>
    <n v="2947.1"/>
  </r>
  <r>
    <x v="2"/>
    <x v="0"/>
    <s v="December"/>
    <s v="December-2013"/>
    <x v="0"/>
    <n v="1507.3000000000002"/>
    <n v="342.7"/>
    <n v="222.4"/>
    <n v="217.60000000000002"/>
    <n v="111.9"/>
    <n v="109.8"/>
    <n v="109"/>
    <n v="111.5"/>
    <n v="114"/>
    <n v="110"/>
    <n v="114.5"/>
    <n v="2956.2000000000003"/>
  </r>
  <r>
    <x v="0"/>
    <x v="1"/>
    <s v="January"/>
    <s v="January-2014"/>
    <x v="0"/>
    <n v="1486.6000000000001"/>
    <n v="347.2"/>
    <n v="224.2"/>
    <n v="218.89999999999998"/>
    <n v="113"/>
    <n v="110.5"/>
    <n v="109.6"/>
    <n v="111.8"/>
    <n v="114"/>
    <n v="110.6"/>
    <n v="114.2"/>
    <n v="2946.4"/>
  </r>
  <r>
    <x v="1"/>
    <x v="1"/>
    <s v="January"/>
    <s v="January-2014"/>
    <x v="0"/>
    <n v="1484.3"/>
    <n v="340.4"/>
    <n v="223.5"/>
    <n v="217.7"/>
    <n v="111"/>
    <n v="110.8"/>
    <n v="109.8"/>
    <n v="111.5"/>
    <n v="115.7"/>
    <n v="110.5"/>
    <n v="112.9"/>
    <n v="2935.2"/>
  </r>
  <r>
    <x v="2"/>
    <x v="1"/>
    <s v="January"/>
    <s v="January-2014"/>
    <x v="0"/>
    <n v="1485.7999999999997"/>
    <n v="344.4"/>
    <n v="223.89999999999998"/>
    <n v="218.5"/>
    <n v="112.2"/>
    <n v="110.7"/>
    <n v="109.7"/>
    <n v="111.6"/>
    <n v="114.5"/>
    <n v="110.6"/>
    <n v="113.6"/>
    <n v="2941.8999999999992"/>
  </r>
  <r>
    <x v="0"/>
    <x v="1"/>
    <s v="February"/>
    <s v="February-2014"/>
    <x v="0"/>
    <n v="1482.2"/>
    <n v="348.3"/>
    <n v="225.4"/>
    <n v="219.60000000000002"/>
    <n v="113.2"/>
    <n v="110.8"/>
    <n v="109.9"/>
    <n v="112"/>
    <n v="114.2"/>
    <n v="110.9"/>
    <n v="114"/>
    <n v="2946.5"/>
  </r>
  <r>
    <x v="1"/>
    <x v="1"/>
    <s v="February"/>
    <s v="February-2014"/>
    <x v="0"/>
    <n v="1476"/>
    <n v="341.7"/>
    <n v="225.1"/>
    <n v="219.10000000000002"/>
    <n v="111.1"/>
    <n v="111.3"/>
    <n v="110.3"/>
    <n v="111.6"/>
    <n v="116.2"/>
    <n v="111"/>
    <n v="113.1"/>
    <n v="2933.4"/>
  </r>
  <r>
    <x v="2"/>
    <x v="1"/>
    <s v="February"/>
    <s v="February-2014"/>
    <x v="0"/>
    <n v="1480.1"/>
    <n v="345.6"/>
    <n v="225.3"/>
    <n v="219.4"/>
    <n v="112.4"/>
    <n v="111.1"/>
    <n v="110.1"/>
    <n v="111.8"/>
    <n v="114.7"/>
    <n v="110.9"/>
    <n v="113.6"/>
    <n v="2941.4"/>
  </r>
  <r>
    <x v="0"/>
    <x v="1"/>
    <s v="March"/>
    <s v="March-2014"/>
    <x v="0"/>
    <n v="1491.4"/>
    <n v="349.6"/>
    <n v="226.60000000000002"/>
    <n v="220.3"/>
    <n v="113.4"/>
    <n v="111.2"/>
    <n v="110.2"/>
    <n v="112.4"/>
    <n v="114.6"/>
    <n v="111.3"/>
    <n v="114.6"/>
    <n v="2961"/>
  </r>
  <r>
    <x v="1"/>
    <x v="1"/>
    <s v="March"/>
    <s v="March-2014"/>
    <x v="0"/>
    <n v="1483"/>
    <n v="343.09999999999997"/>
    <n v="226.2"/>
    <n v="220"/>
    <n v="110.9"/>
    <n v="111.6"/>
    <n v="110.9"/>
    <n v="111.8"/>
    <n v="116.7"/>
    <n v="111.4"/>
    <n v="113.7"/>
    <n v="2945.6"/>
  </r>
  <r>
    <x v="2"/>
    <x v="1"/>
    <s v="Marcrh"/>
    <s v="Marcrh-2014"/>
    <x v="0"/>
    <n v="1488.2999999999997"/>
    <n v="346.9"/>
    <n v="226.4"/>
    <n v="220.2"/>
    <n v="112.5"/>
    <n v="111.4"/>
    <n v="110.6"/>
    <n v="112"/>
    <n v="115.2"/>
    <n v="111.3"/>
    <n v="114.2"/>
    <n v="2954.7999999999997"/>
  </r>
  <r>
    <x v="0"/>
    <x v="1"/>
    <s v="April"/>
    <s v="April-2014"/>
    <x v="0"/>
    <n v="1504.1000000000001"/>
    <n v="352"/>
    <n v="227.60000000000002"/>
    <n v="220.7"/>
    <n v="113.4"/>
    <n v="111.2"/>
    <n v="110.5"/>
    <n v="113"/>
    <n v="115.4"/>
    <n v="111.5"/>
    <n v="115.4"/>
    <n v="2979.4"/>
  </r>
  <r>
    <x v="1"/>
    <x v="1"/>
    <s v="April"/>
    <s v="April-2014"/>
    <x v="0"/>
    <n v="1504.0000000000002"/>
    <n v="344.5"/>
    <n v="227.3"/>
    <n v="220.1"/>
    <n v="110.9"/>
    <n v="111.2"/>
    <n v="111.2"/>
    <n v="112.5"/>
    <n v="117.6"/>
    <n v="111.4"/>
    <n v="114.7"/>
    <n v="2970.7"/>
  </r>
  <r>
    <x v="2"/>
    <x v="1"/>
    <s v="April"/>
    <s v="April-2014"/>
    <x v="0"/>
    <n v="1504.1"/>
    <n v="349"/>
    <n v="227.5"/>
    <n v="220.5"/>
    <n v="112.5"/>
    <n v="111.2"/>
    <n v="110.9"/>
    <n v="112.7"/>
    <n v="116"/>
    <n v="111.5"/>
    <n v="115.1"/>
    <n v="2975.8999999999996"/>
  </r>
  <r>
    <x v="0"/>
    <x v="1"/>
    <s v="May"/>
    <s v="May-2014"/>
    <x v="0"/>
    <n v="1513.8999999999999"/>
    <n v="354"/>
    <n v="228.39999999999998"/>
    <n v="221"/>
    <n v="113.4"/>
    <n v="111.4"/>
    <n v="110.9"/>
    <n v="113.1"/>
    <n v="116.3"/>
    <n v="111.8"/>
    <n v="116"/>
    <n v="2994.2000000000003"/>
  </r>
  <r>
    <x v="1"/>
    <x v="1"/>
    <s v="May"/>
    <s v="May-2014"/>
    <x v="0"/>
    <n v="1525.3000000000002"/>
    <n v="345.9"/>
    <n v="228.39999999999998"/>
    <n v="220.5"/>
    <n v="111.1"/>
    <n v="111.3"/>
    <n v="111.5"/>
    <n v="112.9"/>
    <n v="118.3"/>
    <n v="111.7"/>
    <n v="115.6"/>
    <n v="2996.9000000000005"/>
  </r>
  <r>
    <x v="2"/>
    <x v="1"/>
    <s v="May"/>
    <s v="May-2014"/>
    <x v="0"/>
    <n v="1518.5000000000005"/>
    <n v="350.79999999999995"/>
    <n v="228.39999999999998"/>
    <n v="220.89999999999998"/>
    <n v="112.5"/>
    <n v="111.3"/>
    <n v="111.2"/>
    <n v="113"/>
    <n v="116.8"/>
    <n v="111.8"/>
    <n v="115.8"/>
    <n v="2995.2000000000007"/>
  </r>
  <r>
    <x v="0"/>
    <x v="1"/>
    <s v="June"/>
    <s v="June-2014"/>
    <x v="0"/>
    <n v="1525.6999999999998"/>
    <n v="356.3"/>
    <n v="228.8"/>
    <n v="220.8"/>
    <n v="114.4"/>
    <n v="112.2"/>
    <n v="111.4"/>
    <n v="114.3"/>
    <n v="117.3"/>
    <n v="112.3"/>
    <n v="117"/>
    <n v="3013.5000000000005"/>
  </r>
  <r>
    <x v="1"/>
    <x v="1"/>
    <s v="June"/>
    <s v="June-2014"/>
    <x v="0"/>
    <n v="1547"/>
    <n v="347.3"/>
    <n v="228.2"/>
    <n v="220.10000000000002"/>
    <n v="111.2"/>
    <n v="111.5"/>
    <n v="111.8"/>
    <n v="115.1"/>
    <n v="119"/>
    <n v="112.2"/>
    <n v="116.4"/>
    <n v="3023.3999999999996"/>
  </r>
  <r>
    <x v="2"/>
    <x v="1"/>
    <s v="June"/>
    <s v="June-2014"/>
    <x v="0"/>
    <n v="1533.7000000000003"/>
    <n v="352.7"/>
    <n v="228.5"/>
    <n v="220.6"/>
    <n v="113.2"/>
    <n v="111.8"/>
    <n v="111.6"/>
    <n v="114.8"/>
    <n v="117.8"/>
    <n v="112.3"/>
    <n v="116.7"/>
    <n v="3017.0000000000009"/>
  </r>
  <r>
    <x v="0"/>
    <x v="1"/>
    <s v="July"/>
    <s v="July-2014"/>
    <x v="0"/>
    <n v="1563.2"/>
    <n v="359.3"/>
    <n v="230.2"/>
    <n v="222.2"/>
    <n v="115.3"/>
    <n v="113.2"/>
    <n v="111.8"/>
    <n v="115.5"/>
    <n v="118"/>
    <n v="113.1"/>
    <n v="119.5"/>
    <n v="3061.7999999999997"/>
  </r>
  <r>
    <x v="1"/>
    <x v="1"/>
    <s v="July"/>
    <s v="July-2014"/>
    <x v="0"/>
    <n v="1599.5"/>
    <n v="349"/>
    <n v="229.7"/>
    <n v="221.2"/>
    <n v="111.6"/>
    <n v="113"/>
    <n v="112.4"/>
    <n v="117.8"/>
    <n v="121"/>
    <n v="113.5"/>
    <n v="118.9"/>
    <n v="3088.7"/>
  </r>
  <r>
    <x v="2"/>
    <x v="1"/>
    <s v="July"/>
    <s v="July-2014"/>
    <x v="0"/>
    <n v="1576.3"/>
    <n v="355"/>
    <n v="230"/>
    <n v="221.9"/>
    <n v="113.9"/>
    <n v="113.1"/>
    <n v="112.1"/>
    <n v="116.8"/>
    <n v="118.8"/>
    <n v="113.3"/>
    <n v="119.2"/>
    <n v="3071.2000000000007"/>
  </r>
  <r>
    <x v="0"/>
    <x v="1"/>
    <s v="August"/>
    <s v="August-2014"/>
    <x v="0"/>
    <n v="1582.2999999999997"/>
    <n v="360.4"/>
    <n v="231.4"/>
    <n v="223.4"/>
    <n v="115.4"/>
    <n v="113.2"/>
    <n v="112.2"/>
    <n v="116.2"/>
    <n v="118.8"/>
    <n v="113.5"/>
    <n v="120.7"/>
    <n v="3086.7999999999997"/>
  </r>
  <r>
    <x v="1"/>
    <x v="1"/>
    <s v="August"/>
    <s v="August-2014"/>
    <x v="0"/>
    <n v="1617"/>
    <n v="350.6"/>
    <n v="230.8"/>
    <n v="222.7"/>
    <n v="111.8"/>
    <n v="112.5"/>
    <n v="112.9"/>
    <n v="119.2"/>
    <n v="123"/>
    <n v="113.9"/>
    <n v="119.9"/>
    <n v="3114.4"/>
  </r>
  <r>
    <x v="2"/>
    <x v="1"/>
    <s v="August"/>
    <s v="August-2014"/>
    <x v="0"/>
    <n v="1594.4999999999998"/>
    <n v="356.4"/>
    <n v="231.1"/>
    <n v="223.2"/>
    <n v="114"/>
    <n v="112.8"/>
    <n v="112.6"/>
    <n v="118"/>
    <n v="119.9"/>
    <n v="113.7"/>
    <n v="120.3"/>
    <n v="3096.1999999999994"/>
  </r>
  <r>
    <x v="0"/>
    <x v="1"/>
    <s v="September"/>
    <s v="September-2014"/>
    <x v="0"/>
    <n v="1583.2"/>
    <n v="362.2"/>
    <n v="232.8"/>
    <n v="223.6"/>
    <n v="115.8"/>
    <n v="112.8"/>
    <n v="112.6"/>
    <n v="116.6"/>
    <n v="119.5"/>
    <n v="113.7"/>
    <n v="120.9"/>
    <n v="3092.8"/>
  </r>
  <r>
    <x v="1"/>
    <x v="1"/>
    <s v="September"/>
    <s v="September-2014"/>
    <x v="0"/>
    <n v="1593.7000000000003"/>
    <n v="352.1"/>
    <n v="231.6"/>
    <n v="222.3"/>
    <n v="111.8"/>
    <n v="111.2"/>
    <n v="113.4"/>
    <n v="120"/>
    <n v="124.3"/>
    <n v="113.6"/>
    <n v="119.2"/>
    <n v="3094.0000000000005"/>
  </r>
  <r>
    <x v="2"/>
    <x v="1"/>
    <s v="September"/>
    <s v="September-2014"/>
    <x v="0"/>
    <n v="1586.0999999999997"/>
    <n v="358"/>
    <n v="232.2"/>
    <n v="223.2"/>
    <n v="114.3"/>
    <n v="112"/>
    <n v="113.1"/>
    <n v="118.6"/>
    <n v="120.8"/>
    <n v="113.7"/>
    <n v="120.1"/>
    <n v="3091.9999999999995"/>
  </r>
  <r>
    <x v="0"/>
    <x v="1"/>
    <s v="October"/>
    <s v="October-2014"/>
    <x v="0"/>
    <n v="1581.1999999999998"/>
    <n v="365.3"/>
    <n v="234.2"/>
    <n v="224.6"/>
    <n v="116.4"/>
    <n v="112.6"/>
    <n v="113"/>
    <n v="116.9"/>
    <n v="120"/>
    <n v="114"/>
    <n v="121"/>
    <n v="3098.2"/>
  </r>
  <r>
    <x v="1"/>
    <x v="1"/>
    <s v="October"/>
    <s v="October-2014"/>
    <x v="0"/>
    <n v="1587.5"/>
    <n v="353.4"/>
    <n v="232.5"/>
    <n v="222.7"/>
    <n v="112"/>
    <n v="111"/>
    <n v="113.6"/>
    <n v="120.2"/>
    <n v="124.3"/>
    <n v="113.7"/>
    <n v="119.1"/>
    <n v="3090.8999999999996"/>
  </r>
  <r>
    <x v="2"/>
    <x v="1"/>
    <s v="October"/>
    <s v="October-2014"/>
    <x v="0"/>
    <n v="1582.7"/>
    <n v="360.6"/>
    <n v="233.4"/>
    <n v="223.89999999999998"/>
    <n v="114.7"/>
    <n v="111.8"/>
    <n v="113.3"/>
    <n v="118.8"/>
    <n v="121.1"/>
    <n v="113.9"/>
    <n v="120.1"/>
    <n v="3094.2000000000007"/>
  </r>
  <r>
    <x v="0"/>
    <x v="1"/>
    <s v="November"/>
    <s v="November-2014"/>
    <x v="0"/>
    <n v="1582"/>
    <n v="366.70000000000005"/>
    <n v="235.2"/>
    <n v="224.7"/>
    <n v="117.3"/>
    <n v="112"/>
    <n v="113.3"/>
    <n v="117.2"/>
    <n v="120.8"/>
    <n v="114.1"/>
    <n v="121.1"/>
    <n v="3103.3"/>
  </r>
  <r>
    <x v="1"/>
    <x v="1"/>
    <s v="November"/>
    <s v="November-2014"/>
    <x v="0"/>
    <n v="1587.8"/>
    <n v="355.2"/>
    <n v="233.5"/>
    <n v="222.6"/>
    <n v="112.6"/>
    <n v="109.7"/>
    <n v="114"/>
    <n v="120.3"/>
    <n v="125.8"/>
    <n v="113.4"/>
    <n v="119"/>
    <n v="3094.9"/>
  </r>
  <r>
    <x v="2"/>
    <x v="1"/>
    <s v="November"/>
    <s v="November-2014"/>
    <x v="0"/>
    <n v="1583.2"/>
    <n v="362.1"/>
    <n v="234.39999999999998"/>
    <n v="223.89999999999998"/>
    <n v="115.5"/>
    <n v="110.8"/>
    <n v="113.7"/>
    <n v="119"/>
    <n v="122.1"/>
    <n v="113.8"/>
    <n v="120.1"/>
    <n v="3098.5000000000005"/>
  </r>
  <r>
    <x v="0"/>
    <x v="1"/>
    <s v="December"/>
    <s v="December-2014"/>
    <x v="0"/>
    <n v="1569.6"/>
    <n v="367.7"/>
    <n v="234.7"/>
    <n v="225.60000000000002"/>
    <n v="117.4"/>
    <n v="111.5"/>
    <n v="113.3"/>
    <n v="117.7"/>
    <n v="121.7"/>
    <n v="114.2"/>
    <n v="120.3"/>
    <n v="3093.3999999999996"/>
  </r>
  <r>
    <x v="1"/>
    <x v="1"/>
    <s v="December"/>
    <s v="December-2014"/>
    <x v="0"/>
    <n v="1577.1999999999998"/>
    <n v="356.5"/>
    <n v="233.3"/>
    <n v="223.60000000000002"/>
    <n v="113"/>
    <n v="108.8"/>
    <n v="114.3"/>
    <n v="120.7"/>
    <n v="126.4"/>
    <n v="113.4"/>
    <n v="118.4"/>
    <n v="3087.2000000000003"/>
  </r>
  <r>
    <x v="2"/>
    <x v="1"/>
    <s v="December"/>
    <s v="December-2014"/>
    <x v="0"/>
    <n v="1571.6999999999998"/>
    <n v="363.2"/>
    <n v="234"/>
    <n v="224.89999999999998"/>
    <n v="115.7"/>
    <n v="110.1"/>
    <n v="113.9"/>
    <n v="119.5"/>
    <n v="123"/>
    <n v="113.8"/>
    <n v="119.4"/>
    <n v="3089.7999999999997"/>
  </r>
  <r>
    <x v="0"/>
    <x v="2"/>
    <s v="January"/>
    <s v="January-2015"/>
    <x v="0"/>
    <n v="1568.1"/>
    <n v="370"/>
    <n v="236.2"/>
    <n v="226.8"/>
    <n v="118.4"/>
    <n v="111"/>
    <n v="114"/>
    <n v="118.2"/>
    <n v="122.7"/>
    <n v="114.5"/>
    <n v="120.3"/>
    <n v="3099.8999999999996"/>
  </r>
  <r>
    <x v="1"/>
    <x v="2"/>
    <s v="January"/>
    <s v="January-2015"/>
    <x v="0"/>
    <n v="1574.8999999999999"/>
    <n v="357.3"/>
    <n v="234.5"/>
    <n v="225.10000000000002"/>
    <n v="113.4"/>
    <n v="107.9"/>
    <n v="114.6"/>
    <n v="120.8"/>
    <n v="127.4"/>
    <n v="113.4"/>
    <n v="118.5"/>
    <n v="3089.3"/>
  </r>
  <r>
    <x v="2"/>
    <x v="2"/>
    <s v="January"/>
    <s v="January-2015"/>
    <x v="0"/>
    <n v="1569.3"/>
    <n v="364.9"/>
    <n v="235.39999999999998"/>
    <n v="226.2"/>
    <n v="116.5"/>
    <n v="109.4"/>
    <n v="114.3"/>
    <n v="119.7"/>
    <n v="124"/>
    <n v="114"/>
    <n v="119.5"/>
    <n v="3093.7"/>
  </r>
  <r>
    <x v="0"/>
    <x v="2"/>
    <s v="February"/>
    <s v="February-2015"/>
    <x v="0"/>
    <n v="1570.5999999999997"/>
    <n v="373.1"/>
    <n v="237.7"/>
    <n v="228.5"/>
    <n v="120"/>
    <n v="110.9"/>
    <n v="114.8"/>
    <n v="118.7"/>
    <n v="124.2"/>
    <n v="115"/>
    <n v="120.6"/>
    <n v="3113.4999999999995"/>
  </r>
  <r>
    <x v="1"/>
    <x v="2"/>
    <s v="February"/>
    <s v="February-2015"/>
    <x v="0"/>
    <n v="1571.1000000000001"/>
    <n v="358.4"/>
    <n v="235.8"/>
    <n v="225.8"/>
    <n v="114"/>
    <n v="106.8"/>
    <n v="114.9"/>
    <n v="120.4"/>
    <n v="128.1"/>
    <n v="113.2"/>
    <n v="118.7"/>
    <n v="3088.5000000000005"/>
  </r>
  <r>
    <x v="2"/>
    <x v="2"/>
    <s v="February"/>
    <s v="February-2015"/>
    <x v="0"/>
    <n v="1569.3999999999996"/>
    <n v="367.2"/>
    <n v="236.8"/>
    <n v="227.5"/>
    <n v="117.7"/>
    <n v="108.7"/>
    <n v="114.9"/>
    <n v="119.7"/>
    <n v="125.2"/>
    <n v="114.1"/>
    <n v="119.7"/>
    <n v="3101.1999999999989"/>
  </r>
  <r>
    <x v="0"/>
    <x v="2"/>
    <s v="March"/>
    <s v="March-2015"/>
    <x v="0"/>
    <n v="1571.5"/>
    <n v="374.4"/>
    <n v="238.8"/>
    <n v="229"/>
    <n v="120.6"/>
    <n v="111.6"/>
    <n v="115.5"/>
    <n v="119.4"/>
    <n v="124.7"/>
    <n v="115.5"/>
    <n v="121.1"/>
    <n v="3121"/>
  </r>
  <r>
    <x v="1"/>
    <x v="2"/>
    <s v="March"/>
    <s v="March-2015"/>
    <x v="0"/>
    <n v="1568.0000000000002"/>
    <n v="359.5"/>
    <n v="236.6"/>
    <n v="225.6"/>
    <n v="114.4"/>
    <n v="108.4"/>
    <n v="115.4"/>
    <n v="120.6"/>
    <n v="128.80000000000001"/>
    <n v="113.8"/>
    <n v="119.1"/>
    <n v="3091.1000000000008"/>
  </r>
  <r>
    <x v="2"/>
    <x v="2"/>
    <s v="March"/>
    <s v="March-2015"/>
    <x v="0"/>
    <n v="1569.1"/>
    <n v="368.4"/>
    <n v="237.8"/>
    <n v="227.7"/>
    <n v="118.3"/>
    <n v="109.9"/>
    <n v="115.4"/>
    <n v="120.1"/>
    <n v="125.8"/>
    <n v="114.7"/>
    <n v="120.2"/>
    <n v="3107.2000000000003"/>
  </r>
  <r>
    <x v="0"/>
    <x v="2"/>
    <s v="April"/>
    <s v="April-2015"/>
    <x v="0"/>
    <n v="1577.2"/>
    <n v="375.7"/>
    <n v="240.10000000000002"/>
    <n v="230.2"/>
    <n v="121.2"/>
    <n v="111.9"/>
    <n v="116.2"/>
    <n v="119.9"/>
    <n v="125.7"/>
    <n v="116"/>
    <n v="121.5"/>
    <n v="3134.0999999999995"/>
  </r>
  <r>
    <x v="1"/>
    <x v="2"/>
    <s v="April"/>
    <s v="April-2015"/>
    <x v="0"/>
    <n v="1576.1"/>
    <n v="360.6"/>
    <n v="237.60000000000002"/>
    <n v="226.39999999999998"/>
    <n v="114.7"/>
    <n v="108.4"/>
    <n v="115.6"/>
    <n v="121.7"/>
    <n v="130.1"/>
    <n v="114.2"/>
    <n v="119.7"/>
    <n v="3105.3999999999992"/>
  </r>
  <r>
    <x v="2"/>
    <x v="2"/>
    <s v="April"/>
    <s v="April-2015"/>
    <x v="0"/>
    <n v="1575.7"/>
    <n v="369.6"/>
    <n v="238.9"/>
    <n v="228.8"/>
    <n v="118.7"/>
    <n v="110.1"/>
    <n v="115.9"/>
    <n v="121"/>
    <n v="126.9"/>
    <n v="115.1"/>
    <n v="120.7"/>
    <n v="3120.7000000000003"/>
  </r>
  <r>
    <x v="0"/>
    <x v="2"/>
    <s v="May"/>
    <s v="May-2015"/>
    <x v="0"/>
    <n v="1587.7"/>
    <n v="378.2"/>
    <n v="241.1"/>
    <n v="231.7"/>
    <n v="121.9"/>
    <n v="113.3"/>
    <n v="116.7"/>
    <n v="120.5"/>
    <n v="126.7"/>
    <n v="116.9"/>
    <n v="122.4"/>
    <n v="3154.7"/>
  </r>
  <r>
    <x v="1"/>
    <x v="2"/>
    <s v="May"/>
    <s v="May-2015"/>
    <x v="0"/>
    <n v="1598.9"/>
    <n v="361.4"/>
    <n v="238.3"/>
    <n v="227.3"/>
    <n v="114.9"/>
    <n v="110.8"/>
    <n v="116"/>
    <n v="122"/>
    <n v="131.30000000000001"/>
    <n v="115.2"/>
    <n v="120.7"/>
    <n v="3136.1000000000008"/>
  </r>
  <r>
    <x v="2"/>
    <x v="2"/>
    <s v="May"/>
    <s v="May-2015"/>
    <x v="0"/>
    <n v="1590.4"/>
    <n v="371.4"/>
    <n v="239.8"/>
    <n v="230"/>
    <n v="119.2"/>
    <n v="112"/>
    <n v="116.3"/>
    <n v="121.4"/>
    <n v="127.9"/>
    <n v="116.1"/>
    <n v="121.6"/>
    <n v="3144.5000000000005"/>
  </r>
  <r>
    <x v="0"/>
    <x v="2"/>
    <s v="June"/>
    <s v="June-2015"/>
    <x v="0"/>
    <n v="1617.8999999999999"/>
    <n v="381.5"/>
    <n v="241.8"/>
    <n v="233.4"/>
    <n v="122.6"/>
    <n v="114.2"/>
    <n v="117.9"/>
    <n v="122"/>
    <n v="128.19999999999999"/>
    <n v="117.9"/>
    <n v="124.1"/>
    <n v="3197.3999999999996"/>
  </r>
  <r>
    <x v="1"/>
    <x v="2"/>
    <s v="June"/>
    <s v="June-2015"/>
    <x v="0"/>
    <n v="1636.6"/>
    <n v="363.1"/>
    <n v="238.2"/>
    <n v="227.9"/>
    <n v="115.1"/>
    <n v="111.7"/>
    <n v="116.2"/>
    <n v="123.8"/>
    <n v="132.1"/>
    <n v="116"/>
    <n v="121.7"/>
    <n v="3180.6999999999994"/>
  </r>
  <r>
    <x v="2"/>
    <x v="2"/>
    <s v="June"/>
    <s v="June-2015"/>
    <x v="0"/>
    <n v="1623.5"/>
    <n v="374.1"/>
    <n v="240.1"/>
    <n v="231.3"/>
    <n v="119.8"/>
    <n v="112.9"/>
    <n v="116.9"/>
    <n v="123.1"/>
    <n v="129.19999999999999"/>
    <n v="117"/>
    <n v="123"/>
    <n v="3187.9"/>
  </r>
  <r>
    <x v="0"/>
    <x v="2"/>
    <s v="July"/>
    <s v="July-2015"/>
    <x v="0"/>
    <n v="1625.3"/>
    <n v="382.6"/>
    <n v="242.9"/>
    <n v="233.5"/>
    <n v="123"/>
    <n v="114.1"/>
    <n v="118"/>
    <n v="122.9"/>
    <n v="129.4"/>
    <n v="118.1"/>
    <n v="124.7"/>
    <n v="3209.8"/>
  </r>
  <r>
    <x v="1"/>
    <x v="2"/>
    <s v="July"/>
    <s v="July-2015"/>
    <x v="0"/>
    <n v="1642.8999999999999"/>
    <n v="364.1"/>
    <n v="239.4"/>
    <n v="227.7"/>
    <n v="115.3"/>
    <n v="111.5"/>
    <n v="116.6"/>
    <n v="125.4"/>
    <n v="133.1"/>
    <n v="116.3"/>
    <n v="122.4"/>
    <n v="3192.3"/>
  </r>
  <r>
    <x v="2"/>
    <x v="2"/>
    <s v="July"/>
    <s v="July-2015"/>
    <x v="0"/>
    <n v="1630.6000000000001"/>
    <n v="375.1"/>
    <n v="241.2"/>
    <n v="231.3"/>
    <n v="120.1"/>
    <n v="112.7"/>
    <n v="117.2"/>
    <n v="124.4"/>
    <n v="130.4"/>
    <n v="117.2"/>
    <n v="123.6"/>
    <n v="3200.2"/>
  </r>
  <r>
    <x v="0"/>
    <x v="2"/>
    <s v="August"/>
    <s v="August-2015"/>
    <x v="0"/>
    <n v="1646.6"/>
    <n v="384.8"/>
    <n v="244.60000000000002"/>
    <n v="233.6"/>
    <n v="123.8"/>
    <n v="113.6"/>
    <n v="118.5"/>
    <n v="123.6"/>
    <n v="130.1"/>
    <n v="118.2"/>
    <n v="126.1"/>
    <n v="3237.3999999999996"/>
  </r>
  <r>
    <x v="1"/>
    <x v="2"/>
    <s v="August"/>
    <s v="August-2015"/>
    <x v="0"/>
    <n v="1658.8999999999999"/>
    <n v="364.8"/>
    <n v="240.9"/>
    <n v="228.6"/>
    <n v="115.3"/>
    <n v="109.9"/>
    <n v="117.2"/>
    <n v="126.2"/>
    <n v="134.19999999999999"/>
    <n v="116.2"/>
    <n v="123.2"/>
    <n v="3212.1999999999994"/>
  </r>
  <r>
    <x v="2"/>
    <x v="2"/>
    <s v="August"/>
    <s v="August-2015"/>
    <x v="0"/>
    <n v="1649.6"/>
    <n v="376.70000000000005"/>
    <n v="242.9"/>
    <n v="231.7"/>
    <n v="120.6"/>
    <n v="111.7"/>
    <n v="117.8"/>
    <n v="125.1"/>
    <n v="131.19999999999999"/>
    <n v="117.2"/>
    <n v="124.8"/>
    <n v="3224.4999999999991"/>
  </r>
  <r>
    <x v="0"/>
    <x v="2"/>
    <s v="September"/>
    <s v="September-2015"/>
    <x v="0"/>
    <n v="1657.6000000000001"/>
    <n v="387.1"/>
    <n v="246.1"/>
    <n v="235.10000000000002"/>
    <n v="123.7"/>
    <n v="113.8"/>
    <n v="119.6"/>
    <n v="124.5"/>
    <n v="131"/>
    <n v="118.8"/>
    <n v="127"/>
    <n v="3257.3"/>
  </r>
  <r>
    <x v="1"/>
    <x v="2"/>
    <s v="September"/>
    <s v="September-2015"/>
    <x v="0"/>
    <n v="1664.8"/>
    <n v="365.8"/>
    <n v="242"/>
    <n v="230"/>
    <n v="115.1"/>
    <n v="109.1"/>
    <n v="117.3"/>
    <n v="126.5"/>
    <n v="134.69999999999999"/>
    <n v="116.2"/>
    <n v="123.5"/>
    <n v="3221.4999999999995"/>
  </r>
  <r>
    <x v="2"/>
    <x v="2"/>
    <s v="September"/>
    <s v="September-2015"/>
    <x v="0"/>
    <n v="1658.3000000000002"/>
    <n v="378.5"/>
    <n v="244.2"/>
    <n v="233.2"/>
    <n v="120.4"/>
    <n v="111.3"/>
    <n v="118.3"/>
    <n v="125.7"/>
    <n v="132"/>
    <n v="117.5"/>
    <n v="125.4"/>
    <n v="3239.4"/>
  </r>
  <r>
    <x v="0"/>
    <x v="2"/>
    <s v="October"/>
    <s v="October-2015"/>
    <x v="0"/>
    <n v="1674.6"/>
    <n v="389"/>
    <n v="247.5"/>
    <n v="236.2"/>
    <n v="124.4"/>
    <n v="113.8"/>
    <n v="120.1"/>
    <n v="125.1"/>
    <n v="131.5"/>
    <n v="119.2"/>
    <n v="127.7"/>
    <n v="3281.3999999999996"/>
  </r>
  <r>
    <x v="1"/>
    <x v="2"/>
    <s v="October"/>
    <s v="October-2015"/>
    <x v="0"/>
    <n v="1692.8000000000002"/>
    <n v="366.79999999999995"/>
    <n v="243.10000000000002"/>
    <n v="231.2"/>
    <n v="114.9"/>
    <n v="109.3"/>
    <n v="117.7"/>
    <n v="126.5"/>
    <n v="135.30000000000001"/>
    <n v="116.5"/>
    <n v="124.2"/>
    <n v="3254.1000000000004"/>
  </r>
  <r>
    <x v="2"/>
    <x v="2"/>
    <s v="October"/>
    <s v="October-2015"/>
    <x v="0"/>
    <n v="1678.9999999999998"/>
    <n v="380.1"/>
    <n v="245.4"/>
    <n v="234.3"/>
    <n v="120.8"/>
    <n v="111.4"/>
    <n v="118.7"/>
    <n v="125.9"/>
    <n v="132.5"/>
    <n v="117.9"/>
    <n v="126.1"/>
    <n v="3266.0000000000005"/>
  </r>
  <r>
    <x v="0"/>
    <x v="2"/>
    <s v="November"/>
    <s v="November-2015"/>
    <x v="0"/>
    <n v="1686.3"/>
    <n v="391.79999999999995"/>
    <n v="248.5"/>
    <n v="236.8"/>
    <n v="125.6"/>
    <n v="114"/>
    <n v="120.9"/>
    <n v="125.8"/>
    <n v="132.19999999999999"/>
    <n v="119.6"/>
    <n v="128.30000000000001"/>
    <n v="3301.5"/>
  </r>
  <r>
    <x v="1"/>
    <x v="2"/>
    <s v="November"/>
    <s v="November-2015"/>
    <x v="0"/>
    <n v="1708.4999999999998"/>
    <n v="368.5"/>
    <n v="243.9"/>
    <n v="231.39999999999998"/>
    <n v="115.1"/>
    <n v="109.3"/>
    <n v="117.9"/>
    <n v="126.6"/>
    <n v="137.6"/>
    <n v="116.6"/>
    <n v="124.6"/>
    <n v="3275.4"/>
  </r>
  <r>
    <x v="2"/>
    <x v="2"/>
    <s v="November"/>
    <s v="November-2015"/>
    <x v="0"/>
    <n v="1692.1"/>
    <n v="382.4"/>
    <n v="246.3"/>
    <n v="234.7"/>
    <n v="121.6"/>
    <n v="111.5"/>
    <n v="119.2"/>
    <n v="126.3"/>
    <n v="133.6"/>
    <n v="118.1"/>
    <n v="126.6"/>
    <n v="3285.7999999999997"/>
  </r>
  <r>
    <x v="0"/>
    <x v="2"/>
    <s v="December"/>
    <s v="December-2015"/>
    <x v="0"/>
    <n v="1682.3000000000002"/>
    <n v="392.9"/>
    <n v="248.4"/>
    <n v="237.2"/>
    <n v="125.7"/>
    <n v="114"/>
    <n v="121.6"/>
    <n v="125.6"/>
    <n v="133.1"/>
    <n v="119.8"/>
    <n v="127.9"/>
    <n v="3300.6"/>
  </r>
  <r>
    <x v="1"/>
    <x v="2"/>
    <s v="December"/>
    <s v="December-2015"/>
    <x v="0"/>
    <n v="1698.8"/>
    <n v="369.4"/>
    <n v="243.4"/>
    <n v="231.8"/>
    <n v="116"/>
    <n v="109.3"/>
    <n v="118.1"/>
    <n v="126.6"/>
    <n v="138.19999999999999"/>
    <n v="116.7"/>
    <n v="124"/>
    <n v="3268.2999999999997"/>
  </r>
  <r>
    <x v="2"/>
    <x v="2"/>
    <s v="December"/>
    <s v="December-2015"/>
    <x v="0"/>
    <n v="1686.1000000000001"/>
    <n v="383.5"/>
    <n v="246"/>
    <n v="235.10000000000002"/>
    <n v="122"/>
    <n v="111.5"/>
    <n v="119.6"/>
    <n v="126.2"/>
    <n v="134.5"/>
    <n v="118.3"/>
    <n v="126.1"/>
    <n v="3282.8"/>
  </r>
  <r>
    <x v="0"/>
    <x v="3"/>
    <s v="January"/>
    <s v="January-2016"/>
    <x v="0"/>
    <n v="1690.1000000000001"/>
    <n v="394.70000000000005"/>
    <n v="250"/>
    <n v="238.60000000000002"/>
    <n v="126.2"/>
    <n v="113.6"/>
    <n v="121.4"/>
    <n v="126.2"/>
    <n v="133.6"/>
    <n v="120.1"/>
    <n v="128.1"/>
    <n v="3314.4999999999995"/>
  </r>
  <r>
    <x v="1"/>
    <x v="3"/>
    <s v="January"/>
    <s v="January-2016"/>
    <x v="0"/>
    <n v="1701.4"/>
    <n v="370.5"/>
    <n v="245"/>
    <n v="233.1"/>
    <n v="116.9"/>
    <n v="108.9"/>
    <n v="118.5"/>
    <n v="126.4"/>
    <n v="139.5"/>
    <n v="116.8"/>
    <n v="124.2"/>
    <n v="3277.0000000000005"/>
  </r>
  <r>
    <x v="2"/>
    <x v="3"/>
    <s v="January"/>
    <s v="January-2016"/>
    <x v="0"/>
    <n v="1691.7"/>
    <n v="384.9"/>
    <n v="247.60000000000002"/>
    <n v="236.5"/>
    <n v="122.7"/>
    <n v="111.1"/>
    <n v="119.8"/>
    <n v="126.3"/>
    <n v="135.19999999999999"/>
    <n v="118.5"/>
    <n v="126.3"/>
    <n v="3294.2999999999997"/>
  </r>
  <r>
    <x v="0"/>
    <x v="3"/>
    <s v="February"/>
    <s v="February-2016"/>
    <x v="0"/>
    <n v="1682.6"/>
    <n v="397.1"/>
    <n v="251.5"/>
    <n v="241.1"/>
    <n v="127.5"/>
    <n v="113.9"/>
    <n v="122.3"/>
    <n v="127.1"/>
    <n v="134.4"/>
    <n v="120.9"/>
    <n v="127.9"/>
    <n v="3318.4"/>
  </r>
  <r>
    <x v="1"/>
    <x v="3"/>
    <s v="February"/>
    <s v="February-2016"/>
    <x v="0"/>
    <n v="1676.1"/>
    <n v="371.6"/>
    <n v="246.2"/>
    <n v="235.7"/>
    <n v="116"/>
    <n v="109.1"/>
    <n v="118.8"/>
    <n v="126.3"/>
    <n v="140"/>
    <n v="117.2"/>
    <n v="123.8"/>
    <n v="3256.9999999999995"/>
  </r>
  <r>
    <x v="2"/>
    <x v="3"/>
    <s v="February"/>
    <s v="February-2016"/>
    <x v="0"/>
    <n v="1678.1"/>
    <n v="386.9"/>
    <n v="249"/>
    <n v="239.1"/>
    <n v="123.1"/>
    <n v="111.4"/>
    <n v="120.3"/>
    <n v="126.6"/>
    <n v="135.9"/>
    <n v="119.1"/>
    <n v="126"/>
    <n v="3289.5"/>
  </r>
  <r>
    <x v="0"/>
    <x v="3"/>
    <s v="March"/>
    <s v="March-2016"/>
    <x v="0"/>
    <n v="1682.7000000000003"/>
    <n v="398.40000000000003"/>
    <n v="252.60000000000002"/>
    <n v="242.2"/>
    <n v="127"/>
    <n v="113.6"/>
    <n v="122.5"/>
    <n v="127.5"/>
    <n v="135"/>
    <n v="121.1"/>
    <n v="128"/>
    <n v="3322.6"/>
  </r>
  <r>
    <x v="1"/>
    <x v="3"/>
    <s v="March"/>
    <s v="March-2016"/>
    <x v="0"/>
    <n v="1667.6000000000001"/>
    <n v="372.2"/>
    <n v="247.2"/>
    <n v="236.8"/>
    <n v="114.8"/>
    <n v="108.5"/>
    <n v="119.1"/>
    <n v="126.4"/>
    <n v="140.6"/>
    <n v="117.3"/>
    <n v="123.8"/>
    <n v="3250.5000000000005"/>
  </r>
  <r>
    <x v="2"/>
    <x v="3"/>
    <s v="March"/>
    <s v="March-2016"/>
    <x v="0"/>
    <n v="1675.2"/>
    <n v="387.9"/>
    <n v="250"/>
    <n v="240.2"/>
    <n v="122.4"/>
    <n v="110.9"/>
    <n v="120.6"/>
    <n v="126.9"/>
    <n v="136.5"/>
    <n v="119.3"/>
    <n v="126"/>
    <n v="3289.9"/>
  </r>
  <r>
    <x v="0"/>
    <x v="3"/>
    <s v="April"/>
    <s v="April-2016"/>
    <x v="0"/>
    <n v="1701.6000000000004"/>
    <n v="400"/>
    <n v="253.6"/>
    <n v="243.60000000000002"/>
    <n v="127"/>
    <n v="114.4"/>
    <n v="123.2"/>
    <n v="127.9"/>
    <n v="135.5"/>
    <n v="121.7"/>
    <n v="129"/>
    <n v="3348.5"/>
  </r>
  <r>
    <x v="1"/>
    <x v="3"/>
    <s v="April"/>
    <s v="April-2016"/>
    <x v="0"/>
    <n v="1706.3"/>
    <n v="373.1"/>
    <n v="248.39999999999998"/>
    <n v="237.6"/>
    <n v="114.6"/>
    <n v="110"/>
    <n v="119.5"/>
    <n v="127.6"/>
    <n v="141.5"/>
    <n v="118.2"/>
    <n v="125.3"/>
    <n v="3296.7999999999997"/>
  </r>
  <r>
    <x v="2"/>
    <x v="3"/>
    <s v="April"/>
    <s v="April-2016"/>
    <x v="0"/>
    <n v="1701.3"/>
    <n v="389.20000000000005"/>
    <n v="251.1"/>
    <n v="241.3"/>
    <n v="122.3"/>
    <n v="112.1"/>
    <n v="121.1"/>
    <n v="127.7"/>
    <n v="137.1"/>
    <n v="120"/>
    <n v="127.3"/>
    <n v="3323.2"/>
  </r>
  <r>
    <x v="0"/>
    <x v="3"/>
    <s v="May"/>
    <s v="May-2016"/>
    <x v="0"/>
    <n v="1723.6999999999998"/>
    <n v="401.3"/>
    <n v="254.5"/>
    <n v="245.5"/>
    <n v="127.4"/>
    <n v="115.1"/>
    <n v="123.6"/>
    <n v="129.1"/>
    <n v="136"/>
    <n v="122.5"/>
    <n v="130.30000000000001"/>
    <n v="3378.7"/>
  </r>
  <r>
    <x v="1"/>
    <x v="3"/>
    <s v="May"/>
    <s v="May-2016"/>
    <x v="0"/>
    <n v="1746.7999999999997"/>
    <n v="374.1"/>
    <n v="249.2"/>
    <n v="238.8"/>
    <n v="115"/>
    <n v="110.7"/>
    <n v="119.8"/>
    <n v="128"/>
    <n v="142.19999999999999"/>
    <n v="118.7"/>
    <n v="126.6"/>
    <n v="3343.2999999999993"/>
  </r>
  <r>
    <x v="2"/>
    <x v="3"/>
    <s v="May"/>
    <s v="May-2016"/>
    <x v="0"/>
    <n v="1730.4"/>
    <n v="390.4"/>
    <n v="252"/>
    <n v="242.9"/>
    <n v="122.7"/>
    <n v="112.8"/>
    <n v="121.5"/>
    <n v="128.5"/>
    <n v="137.69999999999999"/>
    <n v="120.7"/>
    <n v="128.6"/>
    <n v="3359.6"/>
  </r>
  <r>
    <x v="0"/>
    <x v="3"/>
    <s v="June"/>
    <s v="June-2016"/>
    <x v="0"/>
    <n v="1748.6"/>
    <n v="403.5"/>
    <n v="254.8"/>
    <n v="246.10000000000002"/>
    <n v="128"/>
    <n v="116.3"/>
    <n v="124.1"/>
    <n v="130.19999999999999"/>
    <n v="137.19999999999999"/>
    <n v="123.3"/>
    <n v="131.9"/>
    <n v="3412.1"/>
  </r>
  <r>
    <x v="1"/>
    <x v="3"/>
    <s v="June"/>
    <s v="June-2016"/>
    <x v="0"/>
    <n v="1787.0000000000002"/>
    <n v="375.29999999999995"/>
    <n v="248.7"/>
    <n v="239.39999999999998"/>
    <n v="115.5"/>
    <n v="112.3"/>
    <n v="119.9"/>
    <n v="129.30000000000001"/>
    <n v="142.69999999999999"/>
    <n v="119.6"/>
    <n v="128.1"/>
    <n v="3389.7000000000003"/>
  </r>
  <r>
    <x v="2"/>
    <x v="3"/>
    <s v="June"/>
    <s v="June-2016"/>
    <x v="0"/>
    <n v="1760.6"/>
    <n v="392.1"/>
    <n v="251.9"/>
    <n v="243.5"/>
    <n v="123.3"/>
    <n v="114.2"/>
    <n v="121.7"/>
    <n v="129.69999999999999"/>
    <n v="138.69999999999999"/>
    <n v="121.5"/>
    <n v="130.1"/>
    <n v="3397.1999999999994"/>
  </r>
  <r>
    <x v="0"/>
    <x v="3"/>
    <s v="July"/>
    <s v="July-2016"/>
    <x v="0"/>
    <n v="1770.2999999999997"/>
    <n v="405.9"/>
    <n v="256.39999999999998"/>
    <n v="247.60000000000002"/>
    <n v="128.19999999999999"/>
    <n v="116.4"/>
    <n v="125.2"/>
    <n v="130.80000000000001"/>
    <n v="138"/>
    <n v="123.8"/>
    <n v="133"/>
    <n v="3442.6"/>
  </r>
  <r>
    <x v="1"/>
    <x v="3"/>
    <s v="July"/>
    <s v="July-2016"/>
    <x v="0"/>
    <n v="1811.5000000000002"/>
    <n v="375.9"/>
    <n v="249.9"/>
    <n v="240.9"/>
    <n v="115.5"/>
    <n v="111.7"/>
    <n v="120.3"/>
    <n v="130.80000000000001"/>
    <n v="142.9"/>
    <n v="119.9"/>
    <n v="129"/>
    <n v="3419.3000000000006"/>
  </r>
  <r>
    <x v="2"/>
    <x v="3"/>
    <s v="July"/>
    <s v="July-2016"/>
    <x v="0"/>
    <n v="1783.5"/>
    <n v="393.8"/>
    <n v="253.3"/>
    <n v="245"/>
    <n v="123.4"/>
    <n v="113.9"/>
    <n v="122.4"/>
    <n v="130.80000000000001"/>
    <n v="139.30000000000001"/>
    <n v="121.9"/>
    <n v="131.1"/>
    <n v="3427.3000000000011"/>
  </r>
  <r>
    <x v="0"/>
    <x v="3"/>
    <s v="August"/>
    <s v="August-2016"/>
    <x v="0"/>
    <n v="1777.4999999999998"/>
    <n v="407.9"/>
    <n v="257.89999999999998"/>
    <n v="249"/>
    <n v="129.1"/>
    <n v="116"/>
    <n v="125.5"/>
    <n v="131.9"/>
    <n v="138.9"/>
    <n v="124.2"/>
    <n v="133.5"/>
    <n v="3457.8999999999996"/>
  </r>
  <r>
    <x v="1"/>
    <x v="3"/>
    <s v="August"/>
    <s v="August-2016"/>
    <x v="0"/>
    <n v="1783.9999999999995"/>
    <n v="377"/>
    <n v="251.2"/>
    <n v="242.10000000000002"/>
    <n v="114.7"/>
    <n v="110.4"/>
    <n v="120.6"/>
    <n v="131.5"/>
    <n v="143.6"/>
    <n v="119.9"/>
    <n v="128.4"/>
    <n v="3394.9999999999991"/>
  </r>
  <r>
    <x v="2"/>
    <x v="3"/>
    <s v="August"/>
    <s v="August-2016"/>
    <x v="0"/>
    <n v="1777.9"/>
    <n v="395.49999999999994"/>
    <n v="254.7"/>
    <n v="246.3"/>
    <n v="123.6"/>
    <n v="113.1"/>
    <n v="122.7"/>
    <n v="131.69999999999999"/>
    <n v="140.19999999999999"/>
    <n v="122.1"/>
    <n v="131.1"/>
    <n v="3427.7999999999993"/>
  </r>
  <r>
    <x v="0"/>
    <x v="3"/>
    <s v="September"/>
    <s v="September-2016"/>
    <x v="0"/>
    <n v="1770.7"/>
    <n v="409.8"/>
    <n v="259"/>
    <n v="250.6"/>
    <n v="129.69999999999999"/>
    <n v="117"/>
    <n v="125.7"/>
    <n v="132.19999999999999"/>
    <n v="139.9"/>
    <n v="124.9"/>
    <n v="133.4"/>
    <n v="3459.4999999999995"/>
  </r>
  <r>
    <x v="1"/>
    <x v="3"/>
    <s v="September"/>
    <s v="September-2016"/>
    <x v="0"/>
    <n v="1756.3999999999996"/>
    <n v="378"/>
    <n v="252.2"/>
    <n v="242.60000000000002"/>
    <n v="114.8"/>
    <n v="111.8"/>
    <n v="120.8"/>
    <n v="131.6"/>
    <n v="143.9"/>
    <n v="120.5"/>
    <n v="128"/>
    <n v="3372.6"/>
  </r>
  <r>
    <x v="2"/>
    <x v="3"/>
    <s v="September"/>
    <s v="September-2016"/>
    <x v="0"/>
    <n v="1763.6999999999998"/>
    <n v="397"/>
    <n v="255.8"/>
    <n v="247.5"/>
    <n v="124.1"/>
    <n v="114.3"/>
    <n v="122.9"/>
    <n v="131.80000000000001"/>
    <n v="141"/>
    <n v="122.8"/>
    <n v="130.9"/>
    <n v="3420.9000000000005"/>
  </r>
  <r>
    <x v="0"/>
    <x v="3"/>
    <s v="October"/>
    <s v="October-2016"/>
    <x v="0"/>
    <n v="1771.8000000000002"/>
    <n v="412.7"/>
    <n v="260.5"/>
    <n v="251.7"/>
    <n v="129.80000000000001"/>
    <n v="117.8"/>
    <n v="126.5"/>
    <n v="133"/>
    <n v="140.9"/>
    <n v="125.7"/>
    <n v="133.80000000000001"/>
    <n v="3470.4"/>
  </r>
  <r>
    <x v="1"/>
    <x v="3"/>
    <s v="October"/>
    <s v="October-2016"/>
    <x v="0"/>
    <n v="1762.8999999999999"/>
    <n v="379"/>
    <n v="253.2"/>
    <n v="242.6"/>
    <n v="115.2"/>
    <n v="112.8"/>
    <n v="121.2"/>
    <n v="131.9"/>
    <n v="144.30000000000001"/>
    <n v="120.9"/>
    <n v="128.6"/>
    <n v="3383.9999999999995"/>
  </r>
  <r>
    <x v="2"/>
    <x v="3"/>
    <s v="October"/>
    <s v="October-2016"/>
    <x v="0"/>
    <n v="1766.7999999999995"/>
    <n v="399.1"/>
    <n v="257.10000000000002"/>
    <n v="248.2"/>
    <n v="124.3"/>
    <n v="115.2"/>
    <n v="123.5"/>
    <n v="132.4"/>
    <n v="141.80000000000001"/>
    <n v="123.4"/>
    <n v="131.4"/>
    <n v="3431.7999999999997"/>
  </r>
  <r>
    <x v="0"/>
    <x v="3"/>
    <s v="November"/>
    <s v="November-2016"/>
    <x v="0"/>
    <n v="1764.6"/>
    <n v="413.59999999999997"/>
    <n v="261.2"/>
    <n v="252.6"/>
    <n v="130.30000000000001"/>
    <n v="118.2"/>
    <n v="126.9"/>
    <n v="133.69999999999999"/>
    <n v="141.19999999999999"/>
    <n v="126.1"/>
    <n v="133.6"/>
    <n v="3468.3999999999992"/>
  </r>
  <r>
    <x v="1"/>
    <x v="3"/>
    <s v="November"/>
    <s v="November-2016"/>
    <x v="0"/>
    <n v="1755.2"/>
    <n v="380.2"/>
    <n v="253.8"/>
    <n v="243.39999999999998"/>
    <n v="116.2"/>
    <n v="113.4"/>
    <n v="121.7"/>
    <n v="132.1"/>
    <n v="144.30000000000001"/>
    <n v="121.3"/>
    <n v="128.5"/>
    <n v="3381.6000000000004"/>
  </r>
  <r>
    <x v="2"/>
    <x v="3"/>
    <s v="November"/>
    <s v="November-2016"/>
    <x v="0"/>
    <n v="1759.8"/>
    <n v="400.1"/>
    <n v="257.7"/>
    <n v="249"/>
    <n v="125"/>
    <n v="115.7"/>
    <n v="124"/>
    <n v="132.80000000000001"/>
    <n v="142"/>
    <n v="123.8"/>
    <n v="131.19999999999999"/>
    <n v="3429.9"/>
  </r>
  <r>
    <x v="0"/>
    <x v="3"/>
    <s v="December"/>
    <s v="December-2016"/>
    <x v="0"/>
    <n v="1749.1"/>
    <n v="415.3"/>
    <n v="261.39999999999998"/>
    <n v="251.6"/>
    <n v="132"/>
    <n v="118.6"/>
    <n v="127.3"/>
    <n v="134.19999999999999"/>
    <n v="142.4"/>
    <n v="126.3"/>
    <n v="132.80000000000001"/>
    <n v="3458.2000000000003"/>
  </r>
  <r>
    <x v="1"/>
    <x v="3"/>
    <s v="December"/>
    <s v="December-2016"/>
    <x v="0"/>
    <n v="1729.8"/>
    <n v="381"/>
    <n v="253.5"/>
    <n v="242.2"/>
    <n v="117.8"/>
    <n v="113.7"/>
    <n v="121.8"/>
    <n v="132.30000000000001"/>
    <n v="145"/>
    <n v="121.4"/>
    <n v="127.6"/>
    <n v="3358.5000000000005"/>
  </r>
  <r>
    <x v="2"/>
    <x v="3"/>
    <s v="December"/>
    <s v="December-2016"/>
    <x v="0"/>
    <n v="1740.7"/>
    <n v="401.5"/>
    <n v="257.7"/>
    <n v="248"/>
    <n v="126.6"/>
    <n v="116"/>
    <n v="124.2"/>
    <n v="133.1"/>
    <n v="143.1"/>
    <n v="123.9"/>
    <n v="130.4"/>
    <n v="3414.7999999999993"/>
  </r>
  <r>
    <x v="0"/>
    <x v="4"/>
    <s v="January"/>
    <s v="January-2017"/>
    <x v="0"/>
    <n v="1737.3000000000002"/>
    <n v="416.5"/>
    <n v="262.79999999999995"/>
    <n v="252.2"/>
    <n v="132.1"/>
    <n v="119.1"/>
    <n v="127"/>
    <n v="134.6"/>
    <n v="143.1"/>
    <n v="126.6"/>
    <n v="132.4"/>
    <n v="3451.2999999999997"/>
  </r>
  <r>
    <x v="1"/>
    <x v="4"/>
    <s v="January"/>
    <s v="January-2017"/>
    <x v="0"/>
    <n v="1713.2"/>
    <n v="381.5"/>
    <n v="254.7"/>
    <n v="243.5"/>
    <n v="118"/>
    <n v="115.2"/>
    <n v="122"/>
    <n v="132.4"/>
    <n v="145.6"/>
    <n v="122.1"/>
    <n v="127.8"/>
    <n v="3348.1999999999994"/>
  </r>
  <r>
    <x v="2"/>
    <x v="4"/>
    <s v="January"/>
    <s v="January-2017"/>
    <x v="0"/>
    <n v="1727.2999999999995"/>
    <n v="402.4"/>
    <n v="259"/>
    <n v="248.8"/>
    <n v="126.8"/>
    <n v="117"/>
    <n v="124.2"/>
    <n v="133.30000000000001"/>
    <n v="143.80000000000001"/>
    <n v="124.4"/>
    <n v="130.30000000000001"/>
    <n v="3407"/>
  </r>
  <r>
    <x v="0"/>
    <x v="4"/>
    <s v="February"/>
    <s v="February-2017"/>
    <x v="0"/>
    <n v="1734.5000000000002"/>
    <n v="416.90000000000003"/>
    <n v="264.10000000000002"/>
    <n v="253.3"/>
    <n v="133.19999999999999"/>
    <n v="119.5"/>
    <n v="127.7"/>
    <n v="134.9"/>
    <n v="143.69999999999999"/>
    <n v="127"/>
    <n v="132.6"/>
    <n v="3454.7999999999997"/>
  </r>
  <r>
    <x v="1"/>
    <x v="4"/>
    <s v="February"/>
    <s v="February-2017"/>
    <x v="0"/>
    <n v="1705.3000000000002"/>
    <n v="382.3"/>
    <n v="255.8"/>
    <n v="244.60000000000002"/>
    <n v="119.2"/>
    <n v="115.5"/>
    <n v="122.2"/>
    <n v="132.4"/>
    <n v="146.30000000000001"/>
    <n v="122.4"/>
    <n v="128.19999999999999"/>
    <n v="3346.0000000000005"/>
  </r>
  <r>
    <x v="2"/>
    <x v="4"/>
    <s v="February"/>
    <s v="February-2017"/>
    <x v="0"/>
    <n v="1722.3000000000002"/>
    <n v="403"/>
    <n v="260.2"/>
    <n v="250"/>
    <n v="127.9"/>
    <n v="117.4"/>
    <n v="124.6"/>
    <n v="133.4"/>
    <n v="144.4"/>
    <n v="124.8"/>
    <n v="130.6"/>
    <n v="3408.0000000000005"/>
  </r>
  <r>
    <x v="0"/>
    <x v="4"/>
    <s v="March"/>
    <s v="March-2017"/>
    <x v="0"/>
    <n v="1728.5000000000002"/>
    <n v="418.59999999999997"/>
    <n v="265.2"/>
    <n v="253.89999999999998"/>
    <n v="134.19999999999999"/>
    <n v="119.8"/>
    <n v="128.30000000000001"/>
    <n v="135.19999999999999"/>
    <n v="144.19999999999999"/>
    <n v="127.4"/>
    <n v="132.80000000000001"/>
    <n v="3455.3"/>
  </r>
  <r>
    <x v="1"/>
    <x v="4"/>
    <s v="March"/>
    <s v="March-2017"/>
    <x v="0"/>
    <n v="1705.6999999999998"/>
    <n v="383.20000000000005"/>
    <n v="256.7"/>
    <n v="244.8"/>
    <n v="120.8"/>
    <n v="115.6"/>
    <n v="122.4"/>
    <n v="132.80000000000001"/>
    <n v="147.5"/>
    <n v="122.6"/>
    <n v="128.69999999999999"/>
    <n v="3352.1"/>
  </r>
  <r>
    <x v="2"/>
    <x v="4"/>
    <s v="March"/>
    <s v="March-2017"/>
    <x v="0"/>
    <n v="1718.9"/>
    <n v="404.29999999999995"/>
    <n v="261.2"/>
    <n v="250.39999999999998"/>
    <n v="129.1"/>
    <n v="117.6"/>
    <n v="125"/>
    <n v="133.80000000000001"/>
    <n v="145.1"/>
    <n v="125.1"/>
    <n v="130.9"/>
    <n v="3410.4999999999995"/>
  </r>
  <r>
    <x v="0"/>
    <x v="4"/>
    <s v="April"/>
    <s v="April-2017"/>
    <x v="0"/>
    <n v="1726.3"/>
    <n v="420.80000000000007"/>
    <n v="266"/>
    <n v="254.7"/>
    <n v="135"/>
    <n v="119.2"/>
    <n v="128.30000000000001"/>
    <n v="135.69999999999999"/>
    <n v="144.4"/>
    <n v="127.5"/>
    <n v="132.9"/>
    <n v="3457.8999999999996"/>
  </r>
  <r>
    <x v="1"/>
    <x v="4"/>
    <s v="April"/>
    <s v="April-2017"/>
    <x v="0"/>
    <n v="1708.1"/>
    <n v="384.2"/>
    <n v="257.7"/>
    <n v="245.60000000000002"/>
    <n v="121.4"/>
    <n v="114.3"/>
    <n v="122.6"/>
    <n v="133.6"/>
    <n v="148"/>
    <n v="122.5"/>
    <n v="129.1"/>
    <n v="3357.9999999999995"/>
  </r>
  <r>
    <x v="2"/>
    <x v="4"/>
    <s v="April"/>
    <s v="April-2017"/>
    <x v="0"/>
    <n v="1718.4"/>
    <n v="406.1"/>
    <n v="262.10000000000002"/>
    <n v="251.2"/>
    <n v="129.80000000000001"/>
    <n v="116.6"/>
    <n v="125.1"/>
    <n v="134.5"/>
    <n v="145.4"/>
    <n v="125.1"/>
    <n v="131.1"/>
    <n v="3414.2999999999997"/>
  </r>
  <r>
    <x v="0"/>
    <x v="4"/>
    <s v="May"/>
    <s v="May-2017"/>
    <x v="0"/>
    <n v="1727.4999999999995"/>
    <n v="421.6"/>
    <n v="267"/>
    <n v="255.10000000000002"/>
    <n v="135"/>
    <n v="119.4"/>
    <n v="129.4"/>
    <n v="136.30000000000001"/>
    <n v="145.5"/>
    <n v="127.9"/>
    <n v="133.30000000000001"/>
    <n v="3464.7"/>
  </r>
  <r>
    <x v="1"/>
    <x v="4"/>
    <s v="May"/>
    <s v="May-2017"/>
    <x v="0"/>
    <n v="1709.6"/>
    <n v="384.9"/>
    <n v="258.60000000000002"/>
    <n v="245.6"/>
    <n v="120.1"/>
    <n v="114.3"/>
    <n v="122.8"/>
    <n v="133.80000000000001"/>
    <n v="148.30000000000001"/>
    <n v="122.6"/>
    <n v="129.30000000000001"/>
    <n v="3360.6000000000004"/>
  </r>
  <r>
    <x v="2"/>
    <x v="4"/>
    <s v="May"/>
    <s v="May-2017"/>
    <x v="0"/>
    <n v="1719.6000000000001"/>
    <n v="406.8"/>
    <n v="263"/>
    <n v="251.4"/>
    <n v="129.4"/>
    <n v="116.7"/>
    <n v="125.7"/>
    <n v="134.80000000000001"/>
    <n v="146.19999999999999"/>
    <n v="125.3"/>
    <n v="131.4"/>
    <n v="3418.9"/>
  </r>
  <r>
    <x v="0"/>
    <x v="4"/>
    <s v="June"/>
    <s v="June-2017"/>
    <x v="0"/>
    <n v="1738.8000000000002"/>
    <n v="423.09999999999997"/>
    <n v="266.60000000000002"/>
    <n v="255.4"/>
    <n v="134.80000000000001"/>
    <n v="119.4"/>
    <n v="129.80000000000001"/>
    <n v="136.9"/>
    <n v="145.80000000000001"/>
    <n v="128.1"/>
    <n v="133.9"/>
    <n v="3478.7000000000007"/>
  </r>
  <r>
    <x v="1"/>
    <x v="4"/>
    <s v="June"/>
    <s v="June-2017"/>
    <x v="0"/>
    <n v="1731.0000000000002"/>
    <n v="384.9"/>
    <n v="258.2"/>
    <n v="246.3"/>
    <n v="119"/>
    <n v="113.9"/>
    <n v="122.9"/>
    <n v="134.30000000000001"/>
    <n v="148.6"/>
    <n v="122.7"/>
    <n v="129.9"/>
    <n v="3381.8"/>
  </r>
  <r>
    <x v="2"/>
    <x v="4"/>
    <s v="June"/>
    <s v="June-2017"/>
    <x v="0"/>
    <n v="1734.7"/>
    <n v="407.7"/>
    <n v="262.60000000000002"/>
    <n v="251.9"/>
    <n v="128.80000000000001"/>
    <n v="116.5"/>
    <n v="125.9"/>
    <n v="135.4"/>
    <n v="146.5"/>
    <n v="125.5"/>
    <n v="132"/>
    <n v="3435.5000000000005"/>
  </r>
  <r>
    <x v="0"/>
    <x v="4"/>
    <s v="July"/>
    <s v="July-2017"/>
    <x v="0"/>
    <n v="1772.9"/>
    <n v="425.9"/>
    <n v="268.7"/>
    <n v="256.5"/>
    <n v="135.30000000000001"/>
    <n v="119.1"/>
    <n v="130.6"/>
    <n v="138.6"/>
    <n v="147.4"/>
    <n v="128.6"/>
    <n v="136.19999999999999"/>
    <n v="3523.6"/>
  </r>
  <r>
    <x v="1"/>
    <x v="4"/>
    <s v="July"/>
    <s v="July-2017"/>
    <x v="0"/>
    <n v="1768.1"/>
    <n v="385.70000000000005"/>
    <n v="259.8"/>
    <n v="247.4"/>
    <n v="119.7"/>
    <n v="113.2"/>
    <n v="123.5"/>
    <n v="135.5"/>
    <n v="150.5"/>
    <n v="123"/>
    <n v="131.80000000000001"/>
    <n v="3426.4"/>
  </r>
  <r>
    <x v="2"/>
    <x v="4"/>
    <s v="July"/>
    <s v="July-2017"/>
    <x v="0"/>
    <n v="1769.3999999999999"/>
    <n v="409.7"/>
    <n v="264.5"/>
    <n v="253"/>
    <n v="129.4"/>
    <n v="116"/>
    <n v="126.6"/>
    <n v="136.80000000000001"/>
    <n v="148.19999999999999"/>
    <n v="125.9"/>
    <n v="134.19999999999999"/>
    <n v="3479.5"/>
  </r>
  <r>
    <x v="0"/>
    <x v="4"/>
    <s v="August"/>
    <s v="August-2017"/>
    <x v="0"/>
    <n v="1792.4999999999998"/>
    <n v="429"/>
    <n v="271.70000000000005"/>
    <n v="258.39999999999998"/>
    <n v="136.4"/>
    <n v="120.3"/>
    <n v="131.5"/>
    <n v="140.19999999999999"/>
    <n v="149"/>
    <n v="129.69999999999999"/>
    <n v="137.80000000000001"/>
    <n v="3558.7"/>
  </r>
  <r>
    <x v="1"/>
    <x v="4"/>
    <s v="August"/>
    <s v="August-2017"/>
    <x v="0"/>
    <n v="1772.9999999999998"/>
    <n v="388.4"/>
    <n v="262.10000000000002"/>
    <n v="249"/>
    <n v="118.9"/>
    <n v="114.6"/>
    <n v="124.1"/>
    <n v="135.69999999999999"/>
    <n v="152.1"/>
    <n v="123.8"/>
    <n v="132.69999999999999"/>
    <n v="3441.6999999999994"/>
  </r>
  <r>
    <x v="2"/>
    <x v="4"/>
    <s v="August"/>
    <s v="August-2017"/>
    <x v="0"/>
    <n v="1783.8"/>
    <n v="412.6"/>
    <n v="267.20000000000005"/>
    <n v="254.7"/>
    <n v="129.80000000000001"/>
    <n v="117.3"/>
    <n v="127.3"/>
    <n v="137.6"/>
    <n v="149.80000000000001"/>
    <n v="126.8"/>
    <n v="135.4"/>
    <n v="3506.900000000001"/>
  </r>
  <r>
    <x v="0"/>
    <x v="4"/>
    <s v="September"/>
    <s v="September-2017"/>
    <x v="0"/>
    <n v="1784.3"/>
    <n v="430.99999999999994"/>
    <n v="273.60000000000002"/>
    <n v="260.10000000000002"/>
    <n v="137.4"/>
    <n v="121.2"/>
    <n v="132.30000000000001"/>
    <n v="139.6"/>
    <n v="149.80000000000001"/>
    <n v="130.30000000000001"/>
    <n v="137.6"/>
    <n v="3559.6"/>
  </r>
  <r>
    <x v="1"/>
    <x v="4"/>
    <s v="September"/>
    <s v="September-2017"/>
    <x v="0"/>
    <n v="1749.7"/>
    <n v="389.9"/>
    <n v="263.79999999999995"/>
    <n v="250.5"/>
    <n v="120.6"/>
    <n v="115.7"/>
    <n v="124.5"/>
    <n v="135.9"/>
    <n v="153.6"/>
    <n v="124.5"/>
    <n v="132.4"/>
    <n v="3428.6999999999994"/>
  </r>
  <r>
    <x v="2"/>
    <x v="4"/>
    <s v="September"/>
    <s v="September-2017"/>
    <x v="0"/>
    <n v="1769.9999999999998"/>
    <n v="414.5"/>
    <n v="269"/>
    <n v="256.3"/>
    <n v="131"/>
    <n v="118.3"/>
    <n v="127.9"/>
    <n v="137.4"/>
    <n v="150.80000000000001"/>
    <n v="127.5"/>
    <n v="135.19999999999999"/>
    <n v="3502.7000000000007"/>
  </r>
  <r>
    <x v="0"/>
    <x v="4"/>
    <s v="October"/>
    <s v="October-2017"/>
    <x v="0"/>
    <n v="1790.8999999999999"/>
    <n v="433.99999999999994"/>
    <n v="275.70000000000005"/>
    <n v="261.60000000000002"/>
    <n v="138.1"/>
    <n v="121"/>
    <n v="133"/>
    <n v="140.1"/>
    <n v="150.5"/>
    <n v="130.69999999999999"/>
    <n v="138.30000000000001"/>
    <n v="3575.599999999999"/>
  </r>
  <r>
    <x v="1"/>
    <x v="4"/>
    <s v="October"/>
    <s v="October-2017"/>
    <x v="0"/>
    <n v="1765.6999999999998"/>
    <n v="391.5"/>
    <n v="265.60000000000002"/>
    <n v="251.2"/>
    <n v="122.6"/>
    <n v="115"/>
    <n v="124.8"/>
    <n v="136.30000000000001"/>
    <n v="154.6"/>
    <n v="124.5"/>
    <n v="133.5"/>
    <n v="3451.7999999999997"/>
  </r>
  <r>
    <x v="2"/>
    <x v="4"/>
    <s v="October"/>
    <s v="October-2017"/>
    <x v="0"/>
    <n v="1779.6999999999998"/>
    <n v="416.90000000000003"/>
    <n v="270.89999999999998"/>
    <n v="257.5"/>
    <n v="132.19999999999999"/>
    <n v="117.8"/>
    <n v="128.4"/>
    <n v="137.9"/>
    <n v="151.6"/>
    <n v="127.7"/>
    <n v="136.1"/>
    <n v="3520.6"/>
  </r>
  <r>
    <x v="0"/>
    <x v="4"/>
    <s v="November"/>
    <s v="November-2017"/>
    <x v="0"/>
    <n v="1817.7000000000003"/>
    <n v="437"/>
    <n v="278"/>
    <n v="263.89999999999998"/>
    <n v="141.1"/>
    <n v="121.6"/>
    <n v="133.69999999999999"/>
    <n v="141.5"/>
    <n v="152.1"/>
    <n v="131.69999999999999"/>
    <n v="140"/>
    <n v="3618.2999999999997"/>
  </r>
  <r>
    <x v="1"/>
    <x v="4"/>
    <s v="November"/>
    <s v="November-2017"/>
    <x v="0"/>
    <n v="1796.7"/>
    <n v="393.9"/>
    <n v="267.39999999999998"/>
    <n v="252.3"/>
    <n v="125.7"/>
    <n v="115.3"/>
    <n v="125.1"/>
    <n v="136.6"/>
    <n v="156.19999999999999"/>
    <n v="124.9"/>
    <n v="134.80000000000001"/>
    <n v="3494.1"/>
  </r>
  <r>
    <x v="2"/>
    <x v="4"/>
    <s v="November"/>
    <s v="November-2017"/>
    <x v="0"/>
    <n v="1808.2"/>
    <n v="419.6"/>
    <n v="273"/>
    <n v="259.39999999999998"/>
    <n v="135.30000000000001"/>
    <n v="118.3"/>
    <n v="128.9"/>
    <n v="138.6"/>
    <n v="153.19999999999999"/>
    <n v="128.4"/>
    <n v="137.6"/>
    <n v="3562.9000000000005"/>
  </r>
  <r>
    <x v="0"/>
    <x v="4"/>
    <s v="December"/>
    <s v="December-2017"/>
    <x v="0"/>
    <n v="1813.6000000000001"/>
    <n v="437.09999999999997"/>
    <n v="278.60000000000002"/>
    <n v="263.89999999999998"/>
    <n v="142.6"/>
    <n v="122"/>
    <n v="133.4"/>
    <n v="141.1"/>
    <n v="153.19999999999999"/>
    <n v="131.9"/>
    <n v="139.80000000000001"/>
    <n v="3617.4"/>
  </r>
  <r>
    <x v="1"/>
    <x v="4"/>
    <s v="December"/>
    <s v="December-2017"/>
    <x v="0"/>
    <n v="1767.5"/>
    <n v="395.2"/>
    <n v="268.39999999999998"/>
    <n v="252.79999999999998"/>
    <n v="126.8"/>
    <n v="115.3"/>
    <n v="125.6"/>
    <n v="136.69999999999999"/>
    <n v="157"/>
    <n v="125.1"/>
    <n v="134.1"/>
    <n v="3470.4"/>
  </r>
  <r>
    <x v="2"/>
    <x v="4"/>
    <s v="December"/>
    <s v="December-2017"/>
    <x v="0"/>
    <n v="1794.9999999999998"/>
    <n v="420.2"/>
    <n v="273.79999999999995"/>
    <n v="259.60000000000002"/>
    <n v="136.6"/>
    <n v="118.5"/>
    <n v="129"/>
    <n v="138.5"/>
    <n v="154.19999999999999"/>
    <n v="128.6"/>
    <n v="137.19999999999999"/>
    <n v="3553.9999999999995"/>
  </r>
  <r>
    <x v="0"/>
    <x v="5"/>
    <s v="January"/>
    <s v="January-2018"/>
    <x v="0"/>
    <n v="1800.7"/>
    <n v="438.1"/>
    <n v="280.20000000000005"/>
    <n v="264.60000000000002"/>
    <n v="142.30000000000001"/>
    <n v="122.7"/>
    <n v="134.30000000000001"/>
    <n v="141.6"/>
    <n v="153.6"/>
    <n v="132.30000000000001"/>
    <n v="139.30000000000001"/>
    <n v="3610.4"/>
  </r>
  <r>
    <x v="1"/>
    <x v="5"/>
    <s v="January"/>
    <s v="January-2018"/>
    <x v="0"/>
    <n v="1748.3000000000002"/>
    <n v="396.29999999999995"/>
    <n v="269.89999999999998"/>
    <n v="254.5"/>
    <n v="127.3"/>
    <n v="116.3"/>
    <n v="126.2"/>
    <n v="137.1"/>
    <n v="157.69999999999999"/>
    <n v="125.8"/>
    <n v="134.1"/>
    <n v="3459.4000000000005"/>
  </r>
  <r>
    <x v="2"/>
    <x v="5"/>
    <s v="January"/>
    <s v="January-2018"/>
    <x v="0"/>
    <n v="1779.9"/>
    <n v="421.3"/>
    <n v="275.3"/>
    <n v="260.60000000000002"/>
    <n v="136.6"/>
    <n v="119.3"/>
    <n v="129.69999999999999"/>
    <n v="139"/>
    <n v="154.69999999999999"/>
    <n v="129.1"/>
    <n v="136.9"/>
    <n v="3545.5"/>
  </r>
  <r>
    <x v="0"/>
    <x v="5"/>
    <s v="February"/>
    <s v="February-2018"/>
    <x v="0"/>
    <n v="1781.5"/>
    <n v="438.90000000000003"/>
    <n v="281.20000000000005"/>
    <n v="265"/>
    <n v="142.4"/>
    <n v="123.3"/>
    <n v="134.30000000000001"/>
    <n v="141.5"/>
    <n v="153.30000000000001"/>
    <n v="132.5"/>
    <n v="138.5"/>
    <n v="3593.900000000001"/>
  </r>
  <r>
    <x v="1"/>
    <x v="5"/>
    <s v="February"/>
    <s v="February-2018"/>
    <x v="0"/>
    <n v="1727.9"/>
    <n v="397.09999999999997"/>
    <n v="271.20000000000005"/>
    <n v="256"/>
    <n v="127.3"/>
    <n v="117.4"/>
    <n v="126.5"/>
    <n v="137.19999999999999"/>
    <n v="159.30000000000001"/>
    <n v="126.5"/>
    <n v="134"/>
    <n v="3446.4"/>
  </r>
  <r>
    <x v="2"/>
    <x v="5"/>
    <s v="February"/>
    <s v="February-2018"/>
    <x v="0"/>
    <n v="1760.3999999999996"/>
    <n v="422"/>
    <n v="276.5"/>
    <n v="261.5"/>
    <n v="136.69999999999999"/>
    <n v="120.2"/>
    <n v="129.9"/>
    <n v="139"/>
    <n v="154.9"/>
    <n v="129.6"/>
    <n v="136.4"/>
    <n v="3530.6999999999994"/>
  </r>
  <r>
    <x v="0"/>
    <x v="5"/>
    <s v="March"/>
    <s v="March-2018"/>
    <x v="0"/>
    <n v="1781.9999999999998"/>
    <n v="440.5"/>
    <n v="281.89999999999998"/>
    <n v="266"/>
    <n v="142.6"/>
    <n v="124.6"/>
    <n v="135.1"/>
    <n v="142.69999999999999"/>
    <n v="155.1"/>
    <n v="133.30000000000001"/>
    <n v="138.69999999999999"/>
    <n v="3603.7999999999997"/>
  </r>
  <r>
    <x v="1"/>
    <x v="5"/>
    <s v="March"/>
    <s v="March-2018"/>
    <x v="0"/>
    <n v="1715.5"/>
    <n v="398.59999999999997"/>
    <n v="272.8"/>
    <n v="257.2"/>
    <n v="126.4"/>
    <n v="117.8"/>
    <n v="126.8"/>
    <n v="137.80000000000001"/>
    <n v="159.69999999999999"/>
    <n v="127.1"/>
    <n v="134"/>
    <n v="3439.7000000000003"/>
  </r>
  <r>
    <x v="2"/>
    <x v="5"/>
    <s v="March"/>
    <s v="March-2018"/>
    <x v="0"/>
    <n v="1756"/>
    <n v="423.6"/>
    <n v="277.60000000000002"/>
    <n v="262.5"/>
    <n v="136.5"/>
    <n v="121"/>
    <n v="130.4"/>
    <n v="139.80000000000001"/>
    <n v="156.30000000000001"/>
    <n v="130.30000000000001"/>
    <n v="136.5"/>
    <n v="3534.0000000000005"/>
  </r>
  <r>
    <x v="0"/>
    <x v="5"/>
    <s v="April"/>
    <s v="April-2018"/>
    <x v="0"/>
    <n v="1780"/>
    <n v="442.5"/>
    <n v="283.8"/>
    <n v="268"/>
    <n v="143.80000000000001"/>
    <n v="125.3"/>
    <n v="136"/>
    <n v="143.69999999999999"/>
    <n v="156.1"/>
    <n v="134.19999999999999"/>
    <n v="139.1"/>
    <n v="3613.4"/>
  </r>
  <r>
    <x v="1"/>
    <x v="5"/>
    <s v="April"/>
    <s v="April-2018"/>
    <x v="0"/>
    <n v="1720.0000000000002"/>
    <n v="401.40000000000003"/>
    <n v="274.70000000000005"/>
    <n v="258.89999999999998"/>
    <n v="124.6"/>
    <n v="118.9"/>
    <n v="127.6"/>
    <n v="139.69999999999999"/>
    <n v="159.19999999999999"/>
    <n v="128.19999999999999"/>
    <n v="134.80000000000001"/>
    <n v="3453.2"/>
  </r>
  <r>
    <x v="2"/>
    <x v="5"/>
    <s v="April"/>
    <s v="April-2018"/>
    <x v="0"/>
    <n v="1757.1000000000001"/>
    <n v="426"/>
    <n v="279.5"/>
    <n v="264.39999999999998"/>
    <n v="136.5"/>
    <n v="121.9"/>
    <n v="131.30000000000001"/>
    <n v="141.4"/>
    <n v="156.9"/>
    <n v="131.30000000000001"/>
    <n v="137.1"/>
    <n v="3546.3000000000011"/>
  </r>
  <r>
    <x v="0"/>
    <x v="5"/>
    <s v="May"/>
    <s v="May-2018"/>
    <x v="0"/>
    <n v="1782.4"/>
    <n v="444.7"/>
    <n v="285"/>
    <n v="269.60000000000002"/>
    <n v="144.30000000000001"/>
    <n v="126.4"/>
    <n v="136.80000000000001"/>
    <n v="144.4"/>
    <n v="157"/>
    <n v="135.1"/>
    <n v="139.80000000000001"/>
    <n v="3625.7000000000003"/>
  </r>
  <r>
    <x v="1"/>
    <x v="5"/>
    <s v="May"/>
    <s v="May-2018"/>
    <x v="0"/>
    <n v="1722.8999999999999"/>
    <n v="403.5"/>
    <n v="275.7"/>
    <n v="260.10000000000002"/>
    <n v="124.7"/>
    <n v="119.8"/>
    <n v="128"/>
    <n v="140.4"/>
    <n v="160.30000000000001"/>
    <n v="128.9"/>
    <n v="135.4"/>
    <n v="3464.2999999999997"/>
  </r>
  <r>
    <x v="2"/>
    <x v="5"/>
    <s v="May"/>
    <s v="May-2018"/>
    <x v="0"/>
    <n v="1759.8"/>
    <n v="428.09999999999997"/>
    <n v="280.60000000000002"/>
    <n v="265.89999999999998"/>
    <n v="136.9"/>
    <n v="122.9"/>
    <n v="131.80000000000001"/>
    <n v="142.1"/>
    <n v="157.9"/>
    <n v="132.1"/>
    <n v="137.80000000000001"/>
    <n v="3558.1000000000004"/>
  </r>
  <r>
    <x v="0"/>
    <x v="5"/>
    <s v="June"/>
    <s v="June-2018"/>
    <x v="0"/>
    <n v="1790.2999999999997"/>
    <n v="446.3"/>
    <n v="284.7"/>
    <n v="269.8"/>
    <n v="145.1"/>
    <n v="127.4"/>
    <n v="137.80000000000001"/>
    <n v="145.1"/>
    <n v="157.30000000000001"/>
    <n v="135.6"/>
    <n v="140.5"/>
    <n v="3639.4"/>
  </r>
  <r>
    <x v="1"/>
    <x v="5"/>
    <s v="June"/>
    <s v="June-2018"/>
    <x v="0"/>
    <n v="1747.3000000000002"/>
    <n v="405"/>
    <n v="275.60000000000002"/>
    <n v="260.79999999999995"/>
    <n v="126.5"/>
    <n v="120.4"/>
    <n v="128.5"/>
    <n v="141.19999999999999"/>
    <n v="161"/>
    <n v="129.5"/>
    <n v="136.19999999999999"/>
    <n v="3495.7999999999997"/>
  </r>
  <r>
    <x v="2"/>
    <x v="5"/>
    <s v="June"/>
    <s v="June-2018"/>
    <x v="0"/>
    <n v="1774.1000000000001"/>
    <n v="429.7"/>
    <n v="280.39999999999998"/>
    <n v="266.29999999999995"/>
    <n v="138.1"/>
    <n v="123.7"/>
    <n v="132.6"/>
    <n v="142.80000000000001"/>
    <n v="158.30000000000001"/>
    <n v="132.6"/>
    <n v="138.5"/>
    <n v="3578.6"/>
  </r>
  <r>
    <x v="0"/>
    <x v="5"/>
    <s v="July"/>
    <s v="July-2018"/>
    <x v="0"/>
    <n v="1810.5000000000002"/>
    <n v="447.20000000000005"/>
    <n v="286.7"/>
    <n v="270.39999999999998"/>
    <n v="146.80000000000001"/>
    <n v="127.5"/>
    <n v="138.4"/>
    <n v="145.80000000000001"/>
    <n v="156.1"/>
    <n v="136"/>
    <n v="141.80000000000001"/>
    <n v="3665.4000000000005"/>
  </r>
  <r>
    <x v="1"/>
    <x v="5"/>
    <s v="July"/>
    <s v="July-2018"/>
    <x v="0"/>
    <n v="1771.1"/>
    <n v="406.4"/>
    <n v="277.2"/>
    <n v="261.79999999999995"/>
    <n v="128.1"/>
    <n v="120.1"/>
    <n v="129"/>
    <n v="144"/>
    <n v="161.4"/>
    <n v="130.19999999999999"/>
    <n v="137.5"/>
    <n v="3529.2999999999997"/>
  </r>
  <r>
    <x v="2"/>
    <x v="5"/>
    <s v="July"/>
    <s v="July-2018"/>
    <x v="0"/>
    <n v="1795.3"/>
    <n v="430.80000000000007"/>
    <n v="282.2"/>
    <n v="267.10000000000002"/>
    <n v="139.69999999999999"/>
    <n v="123.6"/>
    <n v="133.1"/>
    <n v="144.69999999999999"/>
    <n v="157.5"/>
    <n v="133.19999999999999"/>
    <n v="139.80000000000001"/>
    <n v="3607.1999999999989"/>
  </r>
  <r>
    <x v="0"/>
    <x v="5"/>
    <s v="August"/>
    <s v="August-2018"/>
    <x v="0"/>
    <n v="1818.8"/>
    <n v="449.2"/>
    <n v="288.39999999999998"/>
    <n v="270.70000000000005"/>
    <n v="147.69999999999999"/>
    <n v="128.30000000000001"/>
    <n v="138.6"/>
    <n v="146.9"/>
    <n v="156.4"/>
    <n v="136.6"/>
    <n v="142.5"/>
    <n v="3681.6000000000004"/>
  </r>
  <r>
    <x v="1"/>
    <x v="5"/>
    <s v="August"/>
    <s v="August-2018"/>
    <x v="0"/>
    <n v="1767.6"/>
    <n v="407.3"/>
    <n v="279"/>
    <n v="263.20000000000005"/>
    <n v="129.80000000000001"/>
    <n v="120.7"/>
    <n v="129.80000000000001"/>
    <n v="145.30000000000001"/>
    <n v="162.1"/>
    <n v="131"/>
    <n v="138"/>
    <n v="3535.8000000000006"/>
  </r>
  <r>
    <x v="2"/>
    <x v="5"/>
    <s v="August"/>
    <s v="August-2018"/>
    <x v="0"/>
    <n v="1798.7000000000003"/>
    <n v="432.20000000000005"/>
    <n v="284"/>
    <n v="267.79999999999995"/>
    <n v="140.9"/>
    <n v="124.3"/>
    <n v="133.6"/>
    <n v="146"/>
    <n v="157.9"/>
    <n v="133.9"/>
    <n v="140.4"/>
    <n v="3619.3000000000011"/>
  </r>
  <r>
    <x v="0"/>
    <x v="5"/>
    <s v="September"/>
    <s v="September-2018"/>
    <x v="0"/>
    <n v="1799.8000000000002"/>
    <n v="449.5"/>
    <n v="289.3"/>
    <n v="272"/>
    <n v="149"/>
    <n v="129.9"/>
    <n v="140"/>
    <n v="147.6"/>
    <n v="157.69999999999999"/>
    <n v="137.4"/>
    <n v="142.1"/>
    <n v="3672.2000000000003"/>
  </r>
  <r>
    <x v="1"/>
    <x v="5"/>
    <s v="September"/>
    <s v="September-2018"/>
    <x v="0"/>
    <n v="1748.4"/>
    <n v="409.20000000000005"/>
    <n v="280.20000000000005"/>
    <n v="265"/>
    <n v="131.19999999999999"/>
    <n v="122.5"/>
    <n v="130.19999999999999"/>
    <n v="145.19999999999999"/>
    <n v="163.30000000000001"/>
    <n v="131.9"/>
    <n v="138.1"/>
    <n v="3527.1"/>
  </r>
  <r>
    <x v="2"/>
    <x v="5"/>
    <s v="September"/>
    <s v="September-2018"/>
    <x v="0"/>
    <n v="1779.5"/>
    <n v="433.29999999999995"/>
    <n v="285"/>
    <n v="269.3"/>
    <n v="142.30000000000001"/>
    <n v="126"/>
    <n v="134.5"/>
    <n v="146.19999999999999"/>
    <n v="159.19999999999999"/>
    <n v="134.69999999999999"/>
    <n v="140.19999999999999"/>
    <n v="3610"/>
  </r>
  <r>
    <x v="0"/>
    <x v="5"/>
    <s v="October"/>
    <s v="October-2018"/>
    <x v="0"/>
    <n v="1782.2"/>
    <n v="445"/>
    <n v="293.8"/>
    <n v="279.20000000000005"/>
    <n v="149.69999999999999"/>
    <n v="130.80000000000001"/>
    <n v="140.1"/>
    <n v="148"/>
    <n v="159.6"/>
    <n v="139.80000000000001"/>
    <n v="142.19999999999999"/>
    <n v="3668.2"/>
  </r>
  <r>
    <x v="1"/>
    <x v="5"/>
    <s v="October"/>
    <s v="October-2018"/>
    <x v="0"/>
    <n v="1754.1"/>
    <n v="411"/>
    <n v="281.39999999999998"/>
    <n v="266.60000000000002"/>
    <n v="133.4"/>
    <n v="123.3"/>
    <n v="130.69999999999999"/>
    <n v="145.5"/>
    <n v="164"/>
    <n v="132.5"/>
    <n v="138.9"/>
    <n v="3542.5"/>
  </r>
  <r>
    <x v="2"/>
    <x v="5"/>
    <s v="October"/>
    <s v="October-2018"/>
    <x v="0"/>
    <n v="1776.2"/>
    <n v="434"/>
    <n v="289.10000000000002"/>
    <n v="274.10000000000002"/>
    <n v="145.30000000000001"/>
    <n v="125.5"/>
    <n v="136.5"/>
    <n v="147.80000000000001"/>
    <n v="162.6"/>
    <n v="136.30000000000001"/>
    <n v="140.80000000000001"/>
    <n v="3627.4"/>
  </r>
  <r>
    <x v="0"/>
    <x v="5"/>
    <s v="November"/>
    <s v="November-2018"/>
    <x v="0"/>
    <n v="1787.4999999999995"/>
    <n v="448"/>
    <n v="294.89999999999998"/>
    <n v="278.5"/>
    <n v="150.30000000000001"/>
    <n v="130.30000000000001"/>
    <n v="143.1"/>
    <n v="150.19999999999999"/>
    <n v="161.9"/>
    <n v="140.1"/>
    <n v="142.4"/>
    <n v="3684.7999999999997"/>
  </r>
  <r>
    <x v="1"/>
    <x v="5"/>
    <s v="November"/>
    <s v="November-2018"/>
    <x v="0"/>
    <n v="1757.4999999999998"/>
    <n v="413.1"/>
    <n v="282.70000000000005"/>
    <n v="267.3"/>
    <n v="136.69999999999999"/>
    <n v="121.2"/>
    <n v="131.30000000000001"/>
    <n v="146.1"/>
    <n v="164.4"/>
    <n v="132.19999999999999"/>
    <n v="139"/>
    <n v="3552.5"/>
  </r>
  <r>
    <x v="2"/>
    <x v="5"/>
    <s v="November"/>
    <s v="November-2018"/>
    <x v="0"/>
    <n v="1775.7000000000003"/>
    <n v="433.8"/>
    <n v="289.10000000000002"/>
    <n v="274.10000000000002"/>
    <n v="145.1"/>
    <n v="125.5"/>
    <n v="136.5"/>
    <n v="147.80000000000001"/>
    <n v="162.6"/>
    <n v="136.30000000000001"/>
    <n v="140.80000000000001"/>
    <n v="3626.5000000000005"/>
  </r>
  <r>
    <x v="0"/>
    <x v="5"/>
    <s v="December"/>
    <s v="December-2018"/>
    <x v="0"/>
    <n v="1773.1000000000001"/>
    <n v="448.3"/>
    <n v="296"/>
    <n v="282.79999999999995"/>
    <n v="149"/>
    <n v="128.9"/>
    <n v="143.30000000000001"/>
    <n v="155.1"/>
    <n v="162.4"/>
    <n v="141.6"/>
    <n v="141.9"/>
    <n v="3680.5"/>
  </r>
  <r>
    <x v="1"/>
    <x v="5"/>
    <s v="December"/>
    <s v="December-2018"/>
    <x v="0"/>
    <n v="1746.6"/>
    <n v="413.8"/>
    <n v="282.7"/>
    <n v="268.10000000000002"/>
    <n v="132.4"/>
    <n v="118.8"/>
    <n v="131.69999999999999"/>
    <n v="146.5"/>
    <n v="164.6"/>
    <n v="131.69999999999999"/>
    <n v="138"/>
    <n v="3536.8999999999996"/>
  </r>
  <r>
    <x v="2"/>
    <x v="5"/>
    <s v="December"/>
    <s v="December-2018"/>
    <x v="0"/>
    <n v="1762.7999999999997"/>
    <n v="434.3"/>
    <n v="289.7"/>
    <n v="277.10000000000002"/>
    <n v="142.69999999999999"/>
    <n v="123.6"/>
    <n v="136.80000000000001"/>
    <n v="150.1"/>
    <n v="163"/>
    <n v="136.80000000000001"/>
    <n v="140.1"/>
    <n v="3616.8999999999996"/>
  </r>
  <r>
    <x v="0"/>
    <x v="6"/>
    <s v="January"/>
    <s v="January-2019"/>
    <x v="0"/>
    <n v="1759.6000000000001"/>
    <n v="445.6"/>
    <n v="297.79999999999995"/>
    <n v="283.10000000000002"/>
    <n v="146.19999999999999"/>
    <n v="128.6"/>
    <n v="142.9"/>
    <n v="155.19999999999999"/>
    <n v="162.69999999999999"/>
    <n v="141.69999999999999"/>
    <n v="141"/>
    <n v="3663.3999999999992"/>
  </r>
  <r>
    <x v="1"/>
    <x v="6"/>
    <s v="January"/>
    <s v="January-2019"/>
    <x v="0"/>
    <n v="1744.3000000000002"/>
    <n v="414.5"/>
    <n v="284"/>
    <n v="269.5"/>
    <n v="128.6"/>
    <n v="118.6"/>
    <n v="131.9"/>
    <n v="146.6"/>
    <n v="164.7"/>
    <n v="131.80000000000001"/>
    <n v="138"/>
    <n v="3534.5"/>
  </r>
  <r>
    <x v="2"/>
    <x v="6"/>
    <s v="January"/>
    <s v="January-2019"/>
    <x v="0"/>
    <n v="1753.3999999999999"/>
    <n v="433"/>
    <n v="291.29999999999995"/>
    <n v="277.89999999999998"/>
    <n v="139.5"/>
    <n v="123.3"/>
    <n v="136.69999999999999"/>
    <n v="150.19999999999999"/>
    <n v="163.19999999999999"/>
    <n v="136.9"/>
    <n v="139.6"/>
    <n v="3605.3999999999996"/>
  </r>
  <r>
    <x v="0"/>
    <x v="6"/>
    <s v="February"/>
    <s v="February-2019"/>
    <x v="0"/>
    <n v="1759.8000000000002"/>
    <n v="446.5"/>
    <n v="298.60000000000002"/>
    <n v="284.8"/>
    <n v="145.30000000000001"/>
    <n v="129.19999999999999"/>
    <n v="143.4"/>
    <n v="155.5"/>
    <n v="162.80000000000001"/>
    <n v="142.19999999999999"/>
    <n v="141"/>
    <n v="3668.1000000000004"/>
  </r>
  <r>
    <x v="1"/>
    <x v="6"/>
    <s v="February"/>
    <s v="February-2019"/>
    <x v="0"/>
    <n v="1754.4"/>
    <n v="415.5"/>
    <n v="285.10000000000002"/>
    <n v="271.5"/>
    <n v="127.1"/>
    <n v="119.2"/>
    <n v="132.19999999999999"/>
    <n v="146.6"/>
    <n v="164.9"/>
    <n v="132.4"/>
    <n v="138.6"/>
    <n v="3548.8999999999996"/>
  </r>
  <r>
    <x v="2"/>
    <x v="6"/>
    <s v="February"/>
    <s v="February-2019"/>
    <x v="0"/>
    <n v="1757.1"/>
    <n v="433.9"/>
    <n v="292.2"/>
    <n v="279.7"/>
    <n v="138.4"/>
    <n v="123.9"/>
    <n v="137.1"/>
    <n v="150.30000000000001"/>
    <n v="163.4"/>
    <n v="137.4"/>
    <n v="139.9"/>
    <n v="3613.4"/>
  </r>
  <r>
    <x v="0"/>
    <x v="6"/>
    <s v="March"/>
    <s v="March-2019"/>
    <x v="0"/>
    <n v="1761.2000000000003"/>
    <n v="447"/>
    <n v="299"/>
    <n v="284.39999999999998"/>
    <n v="146.4"/>
    <n v="129.9"/>
    <n v="143.80000000000001"/>
    <n v="155.5"/>
    <n v="162.9"/>
    <n v="142.4"/>
    <n v="141.19999999999999"/>
    <n v="3672.5000000000009"/>
  </r>
  <r>
    <x v="1"/>
    <x v="6"/>
    <s v="March"/>
    <s v="March-2019"/>
    <x v="0"/>
    <n v="1768.4"/>
    <n v="416.29999999999995"/>
    <n v="285.8"/>
    <n v="271.7"/>
    <n v="128.80000000000001"/>
    <n v="119.9"/>
    <n v="133"/>
    <n v="146.69999999999999"/>
    <n v="165.3"/>
    <n v="132.80000000000001"/>
    <n v="139.5"/>
    <n v="3568.7000000000003"/>
  </r>
  <r>
    <x v="2"/>
    <x v="6"/>
    <s v="March"/>
    <s v="March-2019"/>
    <x v="0"/>
    <n v="1762.9"/>
    <n v="434.5"/>
    <n v="292.8"/>
    <n v="279.60000000000002"/>
    <n v="139.69999999999999"/>
    <n v="124.6"/>
    <n v="137.69999999999999"/>
    <n v="150.30000000000001"/>
    <n v="163.5"/>
    <n v="137.69999999999999"/>
    <n v="140.4"/>
    <n v="3623.2999999999997"/>
  </r>
  <r>
    <x v="0"/>
    <x v="6"/>
    <s v="August"/>
    <s v="August-2019"/>
    <x v="1"/>
    <n v="1834.5000000000002"/>
    <n v="449.5"/>
    <n v="301.79999999999995"/>
    <n v="291.5"/>
    <n v="146.4"/>
    <n v="131.4"/>
    <n v="148"/>
    <n v="159.69999999999999"/>
    <n v="165.1"/>
    <n v="144.9"/>
    <n v="145.69999999999999"/>
    <n v="3772.8"/>
  </r>
  <r>
    <x v="1"/>
    <x v="6"/>
    <s v="August"/>
    <s v="August-2019"/>
    <x v="1"/>
    <n v="1869.1"/>
    <n v="420.2"/>
    <n v="289.7"/>
    <n v="279.3"/>
    <n v="125.5"/>
    <n v="120.8"/>
    <n v="135.4"/>
    <n v="151.5"/>
    <n v="167.9"/>
    <n v="135.30000000000001"/>
    <n v="144.19999999999999"/>
    <n v="3694.7000000000003"/>
  </r>
  <r>
    <x v="2"/>
    <x v="6"/>
    <s v="August"/>
    <s v="August-2019"/>
    <x v="1"/>
    <n v="1846.5"/>
    <n v="437.6"/>
    <n v="296.10000000000002"/>
    <n v="286.89999999999998"/>
    <n v="138.5"/>
    <n v="125.8"/>
    <n v="140.9"/>
    <n v="154.9"/>
    <n v="165.8"/>
    <n v="140.19999999999999"/>
    <n v="145"/>
    <n v="3733.2000000000003"/>
  </r>
  <r>
    <x v="0"/>
    <x v="6"/>
    <s v="December"/>
    <s v="December-2019"/>
    <x v="1"/>
    <n v="1940.9999999999995"/>
    <n v="451.79999999999995"/>
    <n v="304"/>
    <n v="295.39999999999998"/>
    <n v="149.9"/>
    <n v="135"/>
    <n v="149.5"/>
    <n v="161.1"/>
    <n v="167.8"/>
    <n v="147.1"/>
    <n v="152.30000000000001"/>
    <n v="3902.5999999999995"/>
  </r>
  <r>
    <x v="1"/>
    <x v="6"/>
    <s v="December"/>
    <s v="December-2019"/>
    <x v="1"/>
    <n v="1956.7"/>
    <n v="424.20000000000005"/>
    <n v="292.60000000000002"/>
    <n v="283.39999999999998"/>
    <n v="133.6"/>
    <n v="125.2"/>
    <n v="136.80000000000001"/>
    <n v="151.9"/>
    <n v="170.4"/>
    <n v="137.69999999999999"/>
    <n v="148.30000000000001"/>
    <n v="3812.5"/>
  </r>
  <r>
    <x v="2"/>
    <x v="6"/>
    <s v="December"/>
    <s v="December-2019"/>
    <x v="1"/>
    <n v="1946.1000000000001"/>
    <n v="440.6"/>
    <n v="298.60000000000002"/>
    <n v="290.8"/>
    <n v="143.69999999999999"/>
    <n v="129.80000000000001"/>
    <n v="142.30000000000001"/>
    <n v="155.69999999999999"/>
    <n v="168.5"/>
    <n v="142.5"/>
    <n v="150.4"/>
    <n v="3858.6000000000004"/>
  </r>
  <r>
    <x v="0"/>
    <x v="6"/>
    <s v="July"/>
    <s v="July-2019"/>
    <x v="1"/>
    <n v="1826.8999999999999"/>
    <n v="449.1"/>
    <n v="300.60000000000002"/>
    <n v="288.29999999999995"/>
    <n v="146.80000000000001"/>
    <n v="131.19999999999999"/>
    <n v="147.5"/>
    <n v="159.1"/>
    <n v="164.5"/>
    <n v="144.19999999999999"/>
    <n v="144.9"/>
    <n v="3758.1999999999994"/>
  </r>
  <r>
    <x v="1"/>
    <x v="6"/>
    <s v="July"/>
    <s v="July-2019"/>
    <x v="1"/>
    <n v="1857.3999999999999"/>
    <n v="419.3"/>
    <n v="288.29999999999995"/>
    <n v="275.89999999999998"/>
    <n v="127"/>
    <n v="120.6"/>
    <n v="135"/>
    <n v="150.4"/>
    <n v="167.2"/>
    <n v="134.5"/>
    <n v="143.30000000000001"/>
    <n v="3675.6"/>
  </r>
  <r>
    <x v="2"/>
    <x v="6"/>
    <s v="July"/>
    <s v="July-2019"/>
    <x v="1"/>
    <n v="1837.5"/>
    <n v="437"/>
    <n v="294.79999999999995"/>
    <n v="283.60000000000002"/>
    <n v="139.30000000000001"/>
    <n v="125.6"/>
    <n v="140.5"/>
    <n v="154"/>
    <n v="165.2"/>
    <n v="139.5"/>
    <n v="144.19999999999999"/>
    <n v="3717"/>
  </r>
  <r>
    <x v="0"/>
    <x v="6"/>
    <s v="June"/>
    <s v="June-2019"/>
    <x v="1"/>
    <n v="1804.1999999999998"/>
    <n v="448.59999999999997"/>
    <n v="299"/>
    <n v="286.5"/>
    <n v="147.80000000000001"/>
    <n v="130.19999999999999"/>
    <n v="146.4"/>
    <n v="157.69999999999999"/>
    <n v="164.2"/>
    <n v="143.30000000000001"/>
    <n v="143.6"/>
    <n v="3727.8999999999996"/>
  </r>
  <r>
    <x v="1"/>
    <x v="6"/>
    <s v="June"/>
    <s v="June-2019"/>
    <x v="1"/>
    <n v="1833.2999999999997"/>
    <n v="418.4"/>
    <n v="286.8"/>
    <n v="274"/>
    <n v="130.5"/>
    <n v="119.6"/>
    <n v="134.30000000000001"/>
    <n v="148.9"/>
    <n v="166.7"/>
    <n v="133.6"/>
    <n v="142.1"/>
    <n v="3646.1"/>
  </r>
  <r>
    <x v="2"/>
    <x v="6"/>
    <s v="June"/>
    <s v="June-2019"/>
    <x v="1"/>
    <n v="1814.1000000000001"/>
    <n v="436.4"/>
    <n v="293.20000000000005"/>
    <n v="281.70000000000005"/>
    <n v="141.19999999999999"/>
    <n v="124.6"/>
    <n v="139.6"/>
    <n v="152.5"/>
    <n v="164.9"/>
    <n v="138.6"/>
    <n v="142.9"/>
    <n v="3686.7999999999993"/>
  </r>
  <r>
    <x v="0"/>
    <x v="6"/>
    <s v="May"/>
    <s v="May-2019"/>
    <x v="1"/>
    <n v="1782.1000000000001"/>
    <n v="448.59999999999997"/>
    <n v="299.60000000000002"/>
    <n v="285.20000000000005"/>
    <n v="146.9"/>
    <n v="130.19999999999999"/>
    <n v="145.9"/>
    <n v="156.69999999999999"/>
    <n v="163.30000000000001"/>
    <n v="142.9"/>
    <n v="142.4"/>
    <n v="3701.4"/>
  </r>
  <r>
    <x v="1"/>
    <x v="6"/>
    <s v="May"/>
    <s v="May-2019"/>
    <x v="1"/>
    <n v="1811.5000000000002"/>
    <n v="417.9"/>
    <n v="287.29999999999995"/>
    <n v="272.39999999999998"/>
    <n v="129.4"/>
    <n v="120.1"/>
    <n v="134"/>
    <n v="148"/>
    <n v="166.2"/>
    <n v="133.30000000000001"/>
    <n v="141.5"/>
    <n v="3620.1"/>
  </r>
  <r>
    <x v="2"/>
    <x v="6"/>
    <s v="May"/>
    <s v="May-2019"/>
    <x v="1"/>
    <n v="1791.9000000000003"/>
    <n v="436.1"/>
    <n v="293.79999999999995"/>
    <n v="280.3"/>
    <n v="140.30000000000001"/>
    <n v="124.9"/>
    <n v="139.19999999999999"/>
    <n v="151.6"/>
    <n v="164.1"/>
    <n v="138.19999999999999"/>
    <n v="142"/>
    <n v="3660.4"/>
  </r>
  <r>
    <x v="0"/>
    <x v="6"/>
    <s v="November"/>
    <s v="November-2019"/>
    <x v="1"/>
    <n v="1904.6000000000001"/>
    <n v="450.8"/>
    <n v="304.39999999999998"/>
    <n v="294.89999999999998"/>
    <n v="148.4"/>
    <n v="132.1"/>
    <n v="149.1"/>
    <n v="160.80000000000001"/>
    <n v="167.2"/>
    <n v="146.1"/>
    <n v="149.9"/>
    <n v="3858.4"/>
  </r>
  <r>
    <x v="1"/>
    <x v="6"/>
    <s v="November"/>
    <s v="November-2019"/>
    <x v="1"/>
    <n v="1923.9999999999998"/>
    <n v="423.09999999999997"/>
    <n v="292.60000000000002"/>
    <n v="282.60000000000002"/>
    <n v="132.19999999999999"/>
    <n v="121.7"/>
    <n v="136.69999999999999"/>
    <n v="151.80000000000001"/>
    <n v="169.9"/>
    <n v="136.30000000000001"/>
    <n v="147"/>
    <n v="3770.8999999999996"/>
  </r>
  <r>
    <x v="2"/>
    <x v="6"/>
    <s v="November"/>
    <s v="November-2019"/>
    <x v="1"/>
    <n v="1910.9"/>
    <n v="439.5"/>
    <n v="298.8"/>
    <n v="290.20000000000005"/>
    <n v="142.30000000000001"/>
    <n v="126.6"/>
    <n v="142.1"/>
    <n v="155.5"/>
    <n v="167.9"/>
    <n v="141.30000000000001"/>
    <n v="148.6"/>
    <n v="3815.1000000000008"/>
  </r>
  <r>
    <x v="0"/>
    <x v="6"/>
    <s v="October"/>
    <s v="October-2019"/>
    <x v="1"/>
    <n v="1876.8999999999996"/>
    <n v="449.4"/>
    <n v="303.60000000000002"/>
    <n v="294"/>
    <n v="147.69999999999999"/>
    <n v="131.69999999999999"/>
    <n v="148.69999999999999"/>
    <n v="160.69999999999999"/>
    <n v="166.3"/>
    <n v="145.69999999999999"/>
    <n v="148.30000000000001"/>
    <n v="3824.6999999999989"/>
  </r>
  <r>
    <x v="1"/>
    <x v="6"/>
    <s v="October"/>
    <s v="October-2019"/>
    <x v="1"/>
    <n v="1902.6000000000001"/>
    <n v="422.20000000000005"/>
    <n v="291.7"/>
    <n v="281.89999999999998"/>
    <n v="128.9"/>
    <n v="121.5"/>
    <n v="136.19999999999999"/>
    <n v="151.69999999999999"/>
    <n v="169.3"/>
    <n v="136"/>
    <n v="146"/>
    <n v="3742"/>
  </r>
  <r>
    <x v="2"/>
    <x v="6"/>
    <s v="October"/>
    <s v="October-2019"/>
    <x v="1"/>
    <n v="1885.5999999999997"/>
    <n v="438.40000000000003"/>
    <n v="298"/>
    <n v="289.39999999999998"/>
    <n v="140.6"/>
    <n v="126.3"/>
    <n v="141.69999999999999"/>
    <n v="155.4"/>
    <n v="167.1"/>
    <n v="141"/>
    <n v="147.19999999999999"/>
    <n v="3783.4999999999995"/>
  </r>
  <r>
    <x v="0"/>
    <x v="6"/>
    <s v="September"/>
    <s v="September-2019"/>
    <x v="1"/>
    <n v="1848.7"/>
    <n v="449.29999999999995"/>
    <n v="302.5"/>
    <n v="293.60000000000002"/>
    <n v="146.9"/>
    <n v="131.6"/>
    <n v="148.30000000000001"/>
    <n v="160.19999999999999"/>
    <n v="165.7"/>
    <n v="145.4"/>
    <n v="146.69999999999999"/>
    <n v="3792.2"/>
  </r>
  <r>
    <x v="1"/>
    <x v="6"/>
    <s v="September"/>
    <s v="September-2019"/>
    <x v="1"/>
    <n v="1874.9"/>
    <n v="420.8"/>
    <n v="290.5"/>
    <n v="280.89999999999998"/>
    <n v="126.6"/>
    <n v="121.2"/>
    <n v="135.9"/>
    <n v="151.6"/>
    <n v="168.6"/>
    <n v="135.69999999999999"/>
    <n v="144.69999999999999"/>
    <n v="3706.7"/>
  </r>
  <r>
    <x v="2"/>
    <x v="6"/>
    <s v="September"/>
    <s v="September-2019"/>
    <x v="1"/>
    <n v="1857.6999999999998"/>
    <n v="437.69999999999993"/>
    <n v="296.79999999999995"/>
    <n v="288.7"/>
    <n v="139.19999999999999"/>
    <n v="126.1"/>
    <n v="141.30000000000001"/>
    <n v="155.19999999999999"/>
    <n v="166.5"/>
    <n v="140.69999999999999"/>
    <n v="145.80000000000001"/>
    <n v="3749.8999999999992"/>
  </r>
  <r>
    <x v="0"/>
    <x v="7"/>
    <s v="January"/>
    <s v="January-2020"/>
    <x v="1"/>
    <n v="1938.6"/>
    <n v="452.30000000000007"/>
    <n v="305.60000000000002"/>
    <n v="298.2"/>
    <n v="150.4"/>
    <n v="136.30000000000001"/>
    <n v="150.1"/>
    <n v="161.69999999999999"/>
    <n v="168.6"/>
    <n v="148.1"/>
    <n v="151.9"/>
    <n v="3909.8999999999996"/>
  </r>
  <r>
    <x v="1"/>
    <x v="7"/>
    <s v="January"/>
    <s v="January-2020"/>
    <x v="1"/>
    <n v="1945.3999999999999"/>
    <n v="425.1"/>
    <n v="294"/>
    <n v="285.89999999999998"/>
    <n v="135.1"/>
    <n v="126.1"/>
    <n v="137.19999999999999"/>
    <n v="152.1"/>
    <n v="170.8"/>
    <n v="138.4"/>
    <n v="148.19999999999999"/>
    <n v="3810.1"/>
  </r>
  <r>
    <x v="2"/>
    <x v="7"/>
    <s v="January"/>
    <s v="January-2020"/>
    <x v="1"/>
    <n v="1940.3999999999999"/>
    <n v="441.2"/>
    <n v="300.10000000000002"/>
    <n v="293.5"/>
    <n v="144.6"/>
    <n v="130.9"/>
    <n v="142.80000000000001"/>
    <n v="156.1"/>
    <n v="169.2"/>
    <n v="143.4"/>
    <n v="150.19999999999999"/>
    <n v="3862.2"/>
  </r>
  <r>
    <x v="0"/>
    <x v="7"/>
    <s v="February"/>
    <s v="February-2020"/>
    <x v="1"/>
    <n v="1909.7999999999997"/>
    <n v="452.8"/>
    <n v="306.60000000000002"/>
    <n v="299.60000000000002"/>
    <n v="152.30000000000001"/>
    <n v="136"/>
    <n v="150.4"/>
    <n v="161.9"/>
    <n v="169.4"/>
    <n v="148.4"/>
    <n v="150.4"/>
    <n v="3887.2000000000003"/>
  </r>
  <r>
    <x v="1"/>
    <x v="7"/>
    <s v="February"/>
    <s v="February-2020"/>
    <x v="1"/>
    <n v="1916.6"/>
    <n v="426"/>
    <n v="295.20000000000005"/>
    <n v="287.89999999999998"/>
    <n v="138.9"/>
    <n v="125.2"/>
    <n v="137.69999999999999"/>
    <n v="152.19999999999999"/>
    <n v="172"/>
    <n v="138.4"/>
    <n v="147.69999999999999"/>
    <n v="3790.1"/>
  </r>
  <r>
    <x v="2"/>
    <x v="7"/>
    <s v="February"/>
    <s v="February-2020"/>
    <x v="1"/>
    <n v="1911.6"/>
    <n v="442"/>
    <n v="301.20000000000005"/>
    <n v="295.10000000000002"/>
    <n v="147.19999999999999"/>
    <n v="130.30000000000001"/>
    <n v="143.19999999999999"/>
    <n v="156.19999999999999"/>
    <n v="170.1"/>
    <n v="143.6"/>
    <n v="149.1"/>
    <n v="3840.4999999999995"/>
  </r>
  <r>
    <x v="0"/>
    <x v="7"/>
    <s v="March"/>
    <s v="March-2020"/>
    <x v="1"/>
    <n v="1894.5999999999997"/>
    <n v="453.5"/>
    <n v="306"/>
    <n v="301.79999999999995"/>
    <n v="153.4"/>
    <n v="135.80000000000001"/>
    <n v="151.19999999999999"/>
    <n v="161.19999999999999"/>
    <n v="170.5"/>
    <n v="148.6"/>
    <n v="149.80000000000001"/>
    <n v="3876.5999999999995"/>
  </r>
  <r>
    <x v="1"/>
    <x v="7"/>
    <s v="March"/>
    <s v="March-2020"/>
    <x v="1"/>
    <n v="1898.5"/>
    <n v="427.1"/>
    <n v="295.3"/>
    <n v="290.3"/>
    <n v="141.4"/>
    <n v="124.6"/>
    <n v="137.9"/>
    <n v="152.5"/>
    <n v="173.3"/>
    <n v="138.69999999999999"/>
    <n v="147.30000000000001"/>
    <n v="3779.6000000000004"/>
  </r>
  <r>
    <x v="2"/>
    <x v="7"/>
    <s v="March"/>
    <s v="March-2020"/>
    <x v="1"/>
    <n v="1895.4"/>
    <n v="442.90000000000003"/>
    <n v="300.89999999999998"/>
    <n v="297.5"/>
    <n v="148.9"/>
    <n v="129.9"/>
    <n v="143.69999999999999"/>
    <n v="156.1"/>
    <n v="171.2"/>
    <n v="143.80000000000001"/>
    <n v="148.6"/>
    <n v="3830.3"/>
  </r>
  <r>
    <x v="0"/>
    <x v="7"/>
    <s v="April"/>
    <s v="April-2020"/>
    <x v="2"/>
    <n v="1614.8000000000002"/>
    <n v="0"/>
    <n v="155.6"/>
    <n v="154.30000000000001"/>
    <n v="148.4"/>
    <s v="NA"/>
    <s v="NA"/>
    <s v="NA"/>
    <s v="NA"/>
    <s v="NA"/>
    <s v="NA"/>
    <n v="2073.1"/>
  </r>
  <r>
    <x v="1"/>
    <x v="7"/>
    <s v="April"/>
    <s v="April-2020"/>
    <x v="2"/>
    <n v="1636.7"/>
    <n v="0"/>
    <n v="155.6"/>
    <n v="144.80000000000001"/>
    <n v="137.1"/>
    <s v="NA"/>
    <s v="NA"/>
    <s v="NA"/>
    <s v="NA"/>
    <s v="NA"/>
    <s v="NA"/>
    <n v="2074.1999999999998"/>
  </r>
  <r>
    <x v="2"/>
    <x v="7"/>
    <s v="April"/>
    <s v="April-2020"/>
    <x v="2"/>
    <n v="1622.7"/>
    <n v="0"/>
    <n v="155.6"/>
    <n v="150.69999999999999"/>
    <n v="144.1"/>
    <s v="NA"/>
    <s v="NA"/>
    <s v="NA"/>
    <s v="NA"/>
    <s v="NA"/>
    <s v="NA"/>
    <n v="2073.1"/>
  </r>
  <r>
    <x v="0"/>
    <x v="7"/>
    <s v="June"/>
    <s v="June-2020"/>
    <x v="2"/>
    <n v="1951"/>
    <n v="458.79999999999995"/>
    <n v="306.39999999999998"/>
    <n v="309.39999999999998"/>
    <n v="144.9"/>
    <n v="141.4"/>
    <n v="153.19999999999999"/>
    <n v="161.80000000000001"/>
    <n v="182.4"/>
    <n v="151.69999999999999"/>
    <n v="152.69999999999999"/>
    <n v="3961.0000000000005"/>
  </r>
  <r>
    <x v="1"/>
    <x v="7"/>
    <s v="June"/>
    <s v="June-2020"/>
    <x v="2"/>
    <n v="1994.9999999999998"/>
    <n v="432.9"/>
    <n v="295.10000000000002"/>
    <n v="300.29999999999995"/>
    <n v="137.1"/>
    <n v="129.30000000000001"/>
    <n v="144.5"/>
    <n v="152.5"/>
    <n v="186.7"/>
    <n v="142"/>
    <n v="150.80000000000001"/>
    <n v="3915.3999999999992"/>
  </r>
  <r>
    <x v="2"/>
    <x v="7"/>
    <s v="June"/>
    <s v="June-2020"/>
    <x v="2"/>
    <n v="1966.8000000000002"/>
    <n v="448.29999999999995"/>
    <n v="301.10000000000002"/>
    <n v="306"/>
    <n v="141.9"/>
    <n v="135"/>
    <n v="148.30000000000001"/>
    <n v="156.4"/>
    <n v="183.5"/>
    <n v="147"/>
    <n v="151.80000000000001"/>
    <n v="3934.3000000000006"/>
  </r>
  <r>
    <x v="0"/>
    <x v="7"/>
    <s v="July"/>
    <s v="July-2020"/>
    <x v="2"/>
    <n v="1951"/>
    <n v="458.79999999999995"/>
    <n v="306.39999999999998"/>
    <n v="309.39999999999998"/>
    <n v="144.9"/>
    <n v="141.4"/>
    <n v="153.19999999999999"/>
    <n v="161.80000000000001"/>
    <n v="182.4"/>
    <n v="151.69999999999999"/>
    <n v="152.69999999999999"/>
    <n v="3961.0000000000005"/>
  </r>
  <r>
    <x v="1"/>
    <x v="7"/>
    <s v="July"/>
    <s v="July-2020"/>
    <x v="2"/>
    <n v="1994.9999999999998"/>
    <n v="432.9"/>
    <n v="295.10000000000002"/>
    <n v="300.29999999999995"/>
    <n v="137.1"/>
    <n v="129.30000000000001"/>
    <n v="144.5"/>
    <n v="152.5"/>
    <n v="186.7"/>
    <n v="142"/>
    <n v="150.80000000000001"/>
    <n v="3915.3999999999992"/>
  </r>
  <r>
    <x v="2"/>
    <x v="7"/>
    <s v="July"/>
    <s v="July-2020"/>
    <x v="2"/>
    <n v="1966.8000000000002"/>
    <n v="448.29999999999995"/>
    <n v="301.10000000000002"/>
    <n v="306"/>
    <n v="141.9"/>
    <n v="135"/>
    <n v="148.30000000000001"/>
    <n v="156.4"/>
    <n v="183.5"/>
    <n v="147"/>
    <n v="151.80000000000001"/>
    <n v="3934.3000000000006"/>
  </r>
  <r>
    <x v="0"/>
    <x v="7"/>
    <s v="August"/>
    <s v="August-2020"/>
    <x v="2"/>
    <n v="1978.6"/>
    <n v="458.7"/>
    <n v="307.39999999999998"/>
    <n v="312.39999999999998"/>
    <n v="145.80000000000001"/>
    <n v="143.6"/>
    <n v="152.19999999999999"/>
    <n v="162.69999999999999"/>
    <n v="180.9"/>
    <n v="153"/>
    <n v="154.69999999999999"/>
    <n v="3995.2999999999997"/>
  </r>
  <r>
    <x v="1"/>
    <x v="7"/>
    <s v="August"/>
    <s v="August-2020"/>
    <x v="2"/>
    <n v="2024.8999999999999"/>
    <n v="433"/>
    <n v="300"/>
    <n v="303.89999999999998"/>
    <n v="138.30000000000001"/>
    <n v="133.9"/>
    <n v="141.19999999999999"/>
    <n v="155.5"/>
    <n v="187.2"/>
    <n v="144.80000000000001"/>
    <n v="152.9"/>
    <n v="3962.7"/>
  </r>
  <r>
    <x v="2"/>
    <x v="7"/>
    <s v="August"/>
    <s v="August-2020"/>
    <x v="2"/>
    <n v="1995.1999999999998"/>
    <n v="448.2"/>
    <n v="303.89999999999998"/>
    <n v="309.3"/>
    <n v="143"/>
    <n v="138.5"/>
    <n v="146"/>
    <n v="158.5"/>
    <n v="182.6"/>
    <n v="149"/>
    <n v="153.9"/>
    <n v="3974.2"/>
  </r>
  <r>
    <x v="0"/>
    <x v="7"/>
    <s v="September"/>
    <s v="September-2020"/>
    <x v="2"/>
    <n v="1987.3999999999999"/>
    <n v="459.9"/>
    <n v="307.89999999999998"/>
    <n v="316.5"/>
    <n v="146.4"/>
    <n v="144.6"/>
    <n v="152.80000000000001"/>
    <n v="161.1"/>
    <n v="182.9"/>
    <n v="153.69999999999999"/>
    <n v="155.4"/>
    <n v="4013.2"/>
  </r>
  <r>
    <x v="1"/>
    <x v="7"/>
    <s v="September"/>
    <s v="September-2020"/>
    <x v="2"/>
    <n v="2041.6000000000001"/>
    <n v="434.6"/>
    <n v="301.70000000000005"/>
    <n v="309.8"/>
    <n v="137.19999999999999"/>
    <n v="135.1"/>
    <n v="141.80000000000001"/>
    <n v="154.9"/>
    <n v="188.7"/>
    <n v="146"/>
    <n v="154"/>
    <n v="3991.4000000000005"/>
  </r>
  <r>
    <x v="2"/>
    <x v="7"/>
    <s v="September"/>
    <s v="September-2020"/>
    <x v="2"/>
    <n v="2007"/>
    <n v="449.70000000000005"/>
    <n v="305"/>
    <n v="314"/>
    <n v="142.9"/>
    <n v="139.6"/>
    <n v="146.6"/>
    <n v="157.5"/>
    <n v="184.4"/>
    <n v="150"/>
    <n v="154.69999999999999"/>
    <n v="3996.7"/>
  </r>
  <r>
    <x v="0"/>
    <x v="7"/>
    <s v="October"/>
    <s v="October-2020"/>
    <x v="2"/>
    <n v="2030.9"/>
    <n v="461.29999999999995"/>
    <n v="308.5"/>
    <n v="315.7"/>
    <n v="146.80000000000001"/>
    <n v="146.4"/>
    <n v="152.4"/>
    <n v="162.5"/>
    <n v="182.7"/>
    <n v="154.30000000000001"/>
    <n v="157.5"/>
    <n v="4061.5"/>
  </r>
  <r>
    <x v="1"/>
    <x v="7"/>
    <s v="October"/>
    <s v="October-2020"/>
    <x v="2"/>
    <n v="2080.1999999999998"/>
    <n v="434.90000000000003"/>
    <n v="301.60000000000002"/>
    <n v="309.10000000000002"/>
    <n v="137.1"/>
    <n v="135.4"/>
    <n v="142"/>
    <n v="155.69999999999999"/>
    <n v="188.7"/>
    <n v="146.19999999999999"/>
    <n v="155.19999999999999"/>
    <n v="4030.8999999999992"/>
  </r>
  <r>
    <x v="2"/>
    <x v="7"/>
    <s v="October"/>
    <s v="October-2020"/>
    <x v="2"/>
    <n v="2048.6000000000004"/>
    <n v="450.59999999999997"/>
    <n v="305.2"/>
    <n v="313.3"/>
    <n v="143.1"/>
    <n v="140.6"/>
    <n v="146.5"/>
    <n v="158.5"/>
    <n v="184.3"/>
    <n v="150.4"/>
    <n v="156.4"/>
    <n v="4041.1000000000004"/>
  </r>
  <r>
    <x v="0"/>
    <x v="7"/>
    <s v="November"/>
    <s v="November-2020"/>
    <x v="2"/>
    <n v="2082.4"/>
    <n v="462.8"/>
    <n v="310.8"/>
    <n v="316.60000000000002"/>
    <n v="147.5"/>
    <n v="146.1"/>
    <n v="153.6"/>
    <n v="161.6"/>
    <n v="183.4"/>
    <n v="154.5"/>
    <n v="159.80000000000001"/>
    <n v="4119.3"/>
  </r>
  <r>
    <x v="1"/>
    <x v="7"/>
    <s v="November"/>
    <s v="November-2020"/>
    <x v="2"/>
    <n v="2120.6999999999998"/>
    <n v="436.3"/>
    <n v="303.10000000000002"/>
    <n v="309.89999999999998"/>
    <n v="137.30000000000001"/>
    <n v="135.19999999999999"/>
    <n v="144.4"/>
    <n v="156.4"/>
    <n v="188.8"/>
    <n v="146.6"/>
    <n v="156.69999999999999"/>
    <n v="4078.7000000000003"/>
  </r>
  <r>
    <x v="2"/>
    <x v="7"/>
    <s v="November"/>
    <s v="November-2020"/>
    <x v="2"/>
    <n v="2095.6"/>
    <n v="452.00000000000006"/>
    <n v="307.2"/>
    <n v="314.10000000000002"/>
    <n v="143.6"/>
    <n v="140.4"/>
    <n v="148.4"/>
    <n v="158.6"/>
    <n v="184.8"/>
    <n v="150.69999999999999"/>
    <n v="158.4"/>
    <n v="4095.3999999999996"/>
  </r>
  <r>
    <x v="0"/>
    <x v="7"/>
    <s v="December"/>
    <s v="December-2020"/>
    <x v="2"/>
    <n v="2100.5"/>
    <n v="464.90000000000003"/>
    <n v="311.8"/>
    <n v="318.2"/>
    <n v="148.69999999999999"/>
    <n v="146.4"/>
    <n v="153.9"/>
    <n v="162.9"/>
    <n v="183.6"/>
    <n v="155.19999999999999"/>
    <n v="160.69999999999999"/>
    <n v="4146.1000000000004"/>
  </r>
  <r>
    <x v="1"/>
    <x v="7"/>
    <s v="December"/>
    <s v="December-2020"/>
    <x v="2"/>
    <n v="2125.4"/>
    <n v="438.20000000000005"/>
    <n v="303.89999999999998"/>
    <n v="310.8"/>
    <n v="137.9"/>
    <n v="135.5"/>
    <n v="144.30000000000001"/>
    <n v="156.9"/>
    <n v="190.2"/>
    <n v="146.9"/>
    <n v="156.9"/>
    <n v="4090.0000000000009"/>
  </r>
  <r>
    <x v="2"/>
    <x v="7"/>
    <s v="December"/>
    <s v="December-2020"/>
    <x v="2"/>
    <n v="2109.1"/>
    <n v="454"/>
    <n v="308.10000000000002"/>
    <n v="315.39999999999998"/>
    <n v="144.6"/>
    <n v="140.69999999999999"/>
    <n v="148.5"/>
    <n v="159.4"/>
    <n v="185.4"/>
    <n v="151.19999999999999"/>
    <n v="158.9"/>
    <n v="4116.3999999999996"/>
  </r>
  <r>
    <x v="0"/>
    <x v="8"/>
    <s v="January"/>
    <s v="January-2021"/>
    <x v="2"/>
    <n v="2065.6999999999998"/>
    <n v="466.7"/>
    <n v="311.60000000000002"/>
    <n v="318.7"/>
    <n v="150.9"/>
    <n v="147.5"/>
    <n v="155.1"/>
    <n v="163.5"/>
    <n v="184.6"/>
    <n v="155.9"/>
    <n v="158.5"/>
    <n v="4120.1999999999989"/>
  </r>
  <r>
    <x v="1"/>
    <x v="8"/>
    <s v="January"/>
    <s v="January-2021"/>
    <x v="2"/>
    <n v="2097"/>
    <n v="440"/>
    <n v="303.39999999999998"/>
    <n v="311.79999999999995"/>
    <n v="142.9"/>
    <n v="136.9"/>
    <n v="145.4"/>
    <n v="156.1"/>
    <n v="191.8"/>
    <n v="147.6"/>
    <n v="156"/>
    <n v="4072.9"/>
  </r>
  <r>
    <x v="2"/>
    <x v="8"/>
    <s v="January"/>
    <s v="January-2021"/>
    <x v="2"/>
    <n v="2076.5"/>
    <n v="455.8"/>
    <n v="307.7"/>
    <n v="316.10000000000002"/>
    <n v="147.9"/>
    <n v="141.9"/>
    <n v="149.6"/>
    <n v="159.19999999999999"/>
    <n v="186.5"/>
    <n v="151.9"/>
    <n v="157.30000000000001"/>
    <n v="4093.1"/>
  </r>
  <r>
    <x v="0"/>
    <x v="8"/>
    <s v="February"/>
    <s v="February-2021"/>
    <x v="2"/>
    <n v="2025.3"/>
    <n v="471.4"/>
    <n v="314.60000000000002"/>
    <n v="319.5"/>
    <n v="154.4"/>
    <n v="150.19999999999999"/>
    <n v="157"/>
    <n v="163.6"/>
    <n v="186.5"/>
    <n v="157.19999999999999"/>
    <n v="156.69999999999999"/>
    <n v="4099.7"/>
  </r>
  <r>
    <x v="1"/>
    <x v="8"/>
    <s v="February"/>
    <s v="February-2021"/>
    <x v="2"/>
    <n v="2066"/>
    <n v="444.2"/>
    <n v="306.3"/>
    <n v="313"/>
    <n v="149.1"/>
    <n v="140.5"/>
    <n v="147.30000000000001"/>
    <n v="156.6"/>
    <n v="193.3"/>
    <n v="149.30000000000001"/>
    <n v="156.5"/>
    <n v="4065.6000000000004"/>
  </r>
  <r>
    <x v="2"/>
    <x v="8"/>
    <s v="February"/>
    <s v="February-2021"/>
    <x v="2"/>
    <n v="2039.3000000000002"/>
    <n v="460.40000000000003"/>
    <n v="310.70000000000005"/>
    <n v="317.10000000000002"/>
    <n v="152.4"/>
    <n v="145.1"/>
    <n v="151.5"/>
    <n v="159.5"/>
    <n v="188.3"/>
    <n v="153.4"/>
    <n v="156.6"/>
    <n v="4077.7000000000007"/>
  </r>
  <r>
    <x v="0"/>
    <x v="8"/>
    <s v="March"/>
    <s v="March-2021"/>
    <x v="2"/>
    <n v="2025.7"/>
    <n v="472.9"/>
    <n v="314.70000000000005"/>
    <n v="317.7"/>
    <n v="156"/>
    <n v="151.30000000000001"/>
    <n v="157.80000000000001"/>
    <n v="163.80000000000001"/>
    <n v="186.1"/>
    <n v="157.30000000000001"/>
    <n v="156.69999999999999"/>
    <n v="4103.3"/>
  </r>
  <r>
    <x v="1"/>
    <x v="8"/>
    <s v="March"/>
    <s v="March-2021"/>
    <x v="2"/>
    <n v="2064.4999999999995"/>
    <n v="446.4"/>
    <n v="307.10000000000002"/>
    <n v="311.8"/>
    <n v="154.80000000000001"/>
    <n v="141.69999999999999"/>
    <n v="148.6"/>
    <n v="157.6"/>
    <n v="193.5"/>
    <n v="150"/>
    <n v="156.9"/>
    <n v="4075.9999999999995"/>
  </r>
  <r>
    <x v="2"/>
    <x v="8"/>
    <s v="March"/>
    <s v="March-2021"/>
    <x v="2"/>
    <n v="2039.3999999999999"/>
    <n v="462.1"/>
    <n v="311.10000000000002"/>
    <n v="315.5"/>
    <n v="155.5"/>
    <n v="146.19999999999999"/>
    <n v="152.6"/>
    <n v="160.19999999999999"/>
    <n v="188.1"/>
    <n v="153.80000000000001"/>
    <n v="156.80000000000001"/>
    <n v="4084.4999999999995"/>
  </r>
  <r>
    <x v="0"/>
    <x v="8"/>
    <s v="April"/>
    <s v="April-2021"/>
    <x v="3"/>
    <n v="2049.5"/>
    <n v="475.69999999999993"/>
    <n v="316.89999999999998"/>
    <n v="319.89999999999998"/>
    <n v="156"/>
    <n v="151.69999999999999"/>
    <n v="158.6"/>
    <n v="164.1"/>
    <n v="186.8"/>
    <n v="158"/>
    <n v="157.6"/>
    <n v="4137.2"/>
  </r>
  <r>
    <x v="1"/>
    <x v="8"/>
    <s v="April"/>
    <s v="April-2021"/>
    <x v="3"/>
    <n v="2089.6"/>
    <n v="448.6"/>
    <n v="309"/>
    <n v="314.10000000000002"/>
    <n v="154.9"/>
    <n v="142.1"/>
    <n v="149.1"/>
    <n v="157.6"/>
    <n v="194.4"/>
    <n v="150.5"/>
    <n v="158"/>
    <n v="4109.8999999999996"/>
  </r>
  <r>
    <x v="2"/>
    <x v="8"/>
    <s v="April"/>
    <s v="April-2021"/>
    <x v="3"/>
    <n v="2064.1"/>
    <n v="464.6"/>
    <n v="313.20000000000005"/>
    <n v="317.70000000000005"/>
    <n v="155.6"/>
    <n v="146.6"/>
    <n v="153.19999999999999"/>
    <n v="160.30000000000001"/>
    <n v="188.8"/>
    <n v="154.4"/>
    <n v="157.80000000000001"/>
    <n v="4118.4999999999991"/>
  </r>
  <r>
    <x v="0"/>
    <x v="8"/>
    <s v="May"/>
    <s v="May-2021"/>
    <x v="3"/>
    <n v="2095.2999999999997"/>
    <n v="490.4"/>
    <n v="320.39999999999998"/>
    <n v="328.4"/>
    <n v="161.69999999999999"/>
    <n v="153.19999999999999"/>
    <n v="160"/>
    <n v="167.6"/>
    <n v="189.6"/>
    <n v="161.1"/>
    <n v="161.1"/>
    <n v="4227.7"/>
  </r>
  <r>
    <x v="1"/>
    <x v="8"/>
    <s v="May"/>
    <s v="May-2021"/>
    <x v="3"/>
    <n v="2124.7000000000003"/>
    <n v="450.79999999999995"/>
    <n v="311.7"/>
    <n v="317.89999999999998"/>
    <n v="155.5"/>
    <n v="145"/>
    <n v="152.6"/>
    <n v="156.6"/>
    <n v="198.2"/>
    <n v="152.30000000000001"/>
    <n v="159.5"/>
    <n v="4165.2999999999993"/>
  </r>
  <r>
    <x v="2"/>
    <x v="8"/>
    <s v="May"/>
    <s v="May-2021"/>
    <x v="3"/>
    <n v="2105.7000000000003"/>
    <n v="474.29999999999995"/>
    <n v="316.29999999999995"/>
    <n v="324.39999999999998"/>
    <n v="159.4"/>
    <n v="148.9"/>
    <n v="155.80000000000001"/>
    <n v="161.19999999999999"/>
    <n v="191.9"/>
    <n v="156.80000000000001"/>
    <n v="160.4"/>
    <n v="4194.7000000000007"/>
  </r>
  <r>
    <x v="0"/>
    <x v="8"/>
    <s v="June"/>
    <s v="June-2021"/>
    <x v="3"/>
    <n v="2122.6"/>
    <n v="489.80000000000007"/>
    <n v="319.7"/>
    <n v="329.1"/>
    <n v="162.1"/>
    <n v="154.19999999999999"/>
    <n v="160.4"/>
    <n v="166.8"/>
    <n v="189.1"/>
    <n v="161.5"/>
    <n v="162.1"/>
    <n v="4255.2999999999993"/>
  </r>
  <r>
    <x v="1"/>
    <x v="8"/>
    <s v="June"/>
    <s v="June-2021"/>
    <x v="3"/>
    <n v="2154.1999999999998"/>
    <n v="452.6"/>
    <n v="310.3"/>
    <n v="318.8"/>
    <n v="156.1"/>
    <n v="147.5"/>
    <n v="150.69999999999999"/>
    <n v="158.1"/>
    <n v="195.6"/>
    <n v="153.4"/>
    <n v="160.4"/>
    <n v="4197.2999999999993"/>
  </r>
  <r>
    <x v="2"/>
    <x v="8"/>
    <s v="June"/>
    <s v="June-2021"/>
    <x v="3"/>
    <n v="2133.9"/>
    <n v="474.7"/>
    <n v="315.3"/>
    <n v="325.10000000000002"/>
    <n v="159.80000000000001"/>
    <n v="150.69999999999999"/>
    <n v="154.9"/>
    <n v="161.69999999999999"/>
    <n v="190.8"/>
    <n v="157.6"/>
    <n v="161.30000000000001"/>
    <n v="4224.5"/>
  </r>
  <r>
    <x v="0"/>
    <x v="8"/>
    <s v="July"/>
    <s v="July-2021"/>
    <x v="3"/>
    <n v="2132.4"/>
    <n v="492.40000000000003"/>
    <n v="321.8"/>
    <n v="330.8"/>
    <n v="162.5"/>
    <n v="157.1"/>
    <n v="160.69999999999999"/>
    <n v="167.2"/>
    <n v="189.7"/>
    <n v="162.80000000000001"/>
    <n v="163.19999999999999"/>
    <n v="4277.4000000000005"/>
  </r>
  <r>
    <x v="1"/>
    <x v="8"/>
    <s v="July"/>
    <s v="July-2021"/>
    <x v="3"/>
    <n v="2171.8000000000002"/>
    <n v="455.3"/>
    <n v="312.2"/>
    <n v="321.10000000000002"/>
    <n v="157.69999999999999"/>
    <n v="149.5"/>
    <n v="151.19999999999999"/>
    <n v="160.30000000000001"/>
    <n v="195.5"/>
    <n v="155"/>
    <n v="161.80000000000001"/>
    <n v="4229.6000000000004"/>
  </r>
  <r>
    <x v="2"/>
    <x v="8"/>
    <s v="July"/>
    <s v="July-2021"/>
    <x v="3"/>
    <n v="2147"/>
    <n v="477.29999999999995"/>
    <n v="317.3"/>
    <n v="327.10000000000002"/>
    <n v="160.69999999999999"/>
    <n v="153.1"/>
    <n v="155.30000000000001"/>
    <n v="163.19999999999999"/>
    <n v="191.2"/>
    <n v="159"/>
    <n v="162.5"/>
    <n v="4251.2"/>
  </r>
  <r>
    <x v="0"/>
    <x v="8"/>
    <s v="August"/>
    <s v="August-2021"/>
    <x v="3"/>
    <n v="2130.8000000000002"/>
    <n v="495.90000000000003"/>
    <n v="323"/>
    <n v="331.4"/>
    <n v="163.1"/>
    <n v="157.69999999999999"/>
    <n v="161.1"/>
    <n v="167.5"/>
    <n v="190.2"/>
    <n v="163.30000000000001"/>
    <n v="163.6"/>
    <n v="4284"/>
  </r>
  <r>
    <x v="1"/>
    <x v="8"/>
    <s v="August"/>
    <s v="August-2021"/>
    <x v="3"/>
    <n v="2157.9"/>
    <n v="460.7"/>
    <n v="315.29999999999995"/>
    <n v="322.39999999999998"/>
    <n v="160.69999999999999"/>
    <n v="150.4"/>
    <n v="153.69999999999999"/>
    <n v="160.4"/>
    <n v="196.5"/>
    <n v="156"/>
    <n v="162.30000000000001"/>
    <n v="4234"/>
  </r>
  <r>
    <x v="2"/>
    <x v="8"/>
    <s v="August"/>
    <s v="August-2021"/>
    <x v="3"/>
    <n v="2142"/>
    <n v="483"/>
    <n v="319.60000000000002"/>
    <n v="328.4"/>
    <n v="162.6"/>
    <n v="154"/>
    <n v="157.6"/>
    <n v="163.80000000000001"/>
    <n v="192.1"/>
    <n v="160"/>
    <n v="163.19999999999999"/>
    <n v="4263.1000000000004"/>
  </r>
  <r>
    <x v="0"/>
    <x v="8"/>
    <s v="September"/>
    <s v="September-2021"/>
    <x v="3"/>
    <n v="2133.6"/>
    <n v="498.4"/>
    <n v="323.39999999999998"/>
    <n v="332.1"/>
    <n v="163.69999999999999"/>
    <n v="157.80000000000001"/>
    <n v="162.69999999999999"/>
    <n v="168.5"/>
    <n v="190.5"/>
    <n v="163.80000000000001"/>
    <n v="164"/>
    <n v="4294.5"/>
  </r>
  <r>
    <x v="1"/>
    <x v="8"/>
    <s v="September"/>
    <s v="September-2021"/>
    <x v="3"/>
    <n v="2157.9"/>
    <n v="460.79999999999995"/>
    <n v="315.39999999999998"/>
    <n v="322.39999999999998"/>
    <n v="160.80000000000001"/>
    <n v="150.5"/>
    <n v="153.9"/>
    <n v="160.30000000000001"/>
    <n v="196.5"/>
    <n v="156"/>
    <n v="162.30000000000001"/>
    <n v="4234.5"/>
  </r>
  <r>
    <x v="2"/>
    <x v="8"/>
    <s v="September"/>
    <s v="September-2021"/>
    <x v="3"/>
    <n v="2142"/>
    <n v="483.2"/>
    <n v="319.60000000000002"/>
    <n v="328.4"/>
    <n v="162.6"/>
    <n v="154"/>
    <n v="157.69999999999999"/>
    <n v="163.69999999999999"/>
    <n v="192.1"/>
    <n v="160"/>
    <n v="163.19999999999999"/>
    <n v="4263.2999999999993"/>
  </r>
  <r>
    <x v="0"/>
    <x v="8"/>
    <s v="October"/>
    <s v="October-2021"/>
    <x v="3"/>
    <n v="2164.1999999999998"/>
    <n v="502.00000000000006"/>
    <n v="325.60000000000002"/>
    <n v="333.6"/>
    <n v="165.5"/>
    <n v="159.5"/>
    <n v="163.19999999999999"/>
    <n v="169"/>
    <n v="191.2"/>
    <n v="164.7"/>
    <n v="166.3"/>
    <n v="4338.4999999999991"/>
  </r>
  <r>
    <x v="1"/>
    <x v="8"/>
    <s v="October"/>
    <s v="October-2021"/>
    <x v="3"/>
    <n v="2198.4000000000005"/>
    <n v="463.50000000000006"/>
    <n v="317.89999999999998"/>
    <n v="323.8"/>
    <n v="162.19999999999999"/>
    <n v="152.19999999999999"/>
    <n v="155.1"/>
    <n v="160.30000000000001"/>
    <n v="197"/>
    <n v="157"/>
    <n v="164.6"/>
    <n v="4287.4000000000005"/>
  </r>
  <r>
    <x v="2"/>
    <x v="8"/>
    <s v="October"/>
    <s v="October-2021"/>
    <x v="3"/>
    <n v="2175.5"/>
    <n v="486.3"/>
    <n v="322"/>
    <n v="329.9"/>
    <n v="164.2"/>
    <n v="155.69999999999999"/>
    <n v="158.6"/>
    <n v="163.9"/>
    <n v="192.7"/>
    <n v="161"/>
    <n v="165.5"/>
    <n v="4309.8"/>
  </r>
  <r>
    <x v="0"/>
    <x v="8"/>
    <s v="November"/>
    <s v="November-2021"/>
    <x v="3"/>
    <n v="2182"/>
    <n v="506.2"/>
    <n v="327.10000000000002"/>
    <n v="335.8"/>
    <n v="165.3"/>
    <n v="158.9"/>
    <n v="163.80000000000001"/>
    <n v="169.3"/>
    <n v="191.4"/>
    <n v="165.2"/>
    <n v="167.6"/>
    <n v="4365"/>
  </r>
  <r>
    <x v="1"/>
    <x v="8"/>
    <s v="November"/>
    <s v="November-2021"/>
    <x v="3"/>
    <n v="2217.8999999999996"/>
    <n v="467.3"/>
    <n v="319.39999999999998"/>
    <n v="326"/>
    <n v="161.6"/>
    <n v="151.19999999999999"/>
    <n v="156.69999999999999"/>
    <n v="160.80000000000001"/>
    <n v="197"/>
    <n v="157.30000000000001"/>
    <n v="165.6"/>
    <n v="4315.2"/>
  </r>
  <r>
    <x v="2"/>
    <x v="8"/>
    <s v="November"/>
    <s v="November-2021"/>
    <x v="3"/>
    <n v="2194.1"/>
    <n v="490.40000000000003"/>
    <n v="323.5"/>
    <n v="332.1"/>
    <n v="163.9"/>
    <n v="154.80000000000001"/>
    <n v="159.80000000000001"/>
    <n v="164.3"/>
    <n v="192.9"/>
    <n v="161.4"/>
    <n v="166.7"/>
    <n v="4337.2"/>
  </r>
  <r>
    <x v="0"/>
    <x v="8"/>
    <s v="December"/>
    <s v="December-2021"/>
    <x v="3"/>
    <n v="2168.1999999999998"/>
    <n v="510.3"/>
    <n v="327.3"/>
    <n v="336.8"/>
    <n v="165.6"/>
    <n v="160.1"/>
    <n v="164.5"/>
    <n v="169.7"/>
    <n v="190.8"/>
    <n v="166"/>
    <n v="167"/>
    <n v="4359.3"/>
  </r>
  <r>
    <x v="1"/>
    <x v="8"/>
    <s v="December"/>
    <s v="December-2021"/>
    <x v="3"/>
    <n v="2206.3000000000002"/>
    <n v="470.7"/>
    <n v="319.39999999999998"/>
    <n v="327.5"/>
    <n v="161.69999999999999"/>
    <n v="151.80000000000001"/>
    <n v="157.6"/>
    <n v="160.6"/>
    <n v="196.8"/>
    <n v="157.80000000000001"/>
    <n v="165.2"/>
    <n v="4310.2"/>
  </r>
  <r>
    <x v="2"/>
    <x v="8"/>
    <s v="December"/>
    <s v="December-2021"/>
    <x v="3"/>
    <n v="2180.9"/>
    <n v="494.2"/>
    <n v="323.60000000000002"/>
    <n v="333.2"/>
    <n v="164.1"/>
    <n v="155.69999999999999"/>
    <n v="160.6"/>
    <n v="164.4"/>
    <n v="192.4"/>
    <n v="162"/>
    <n v="166.2"/>
    <n v="4331.0999999999995"/>
  </r>
  <r>
    <x v="0"/>
    <x v="9"/>
    <s v="January"/>
    <s v="January-2022"/>
    <x v="3"/>
    <n v="2153"/>
    <n v="515.20000000000005"/>
    <n v="329.4"/>
    <n v="337.9"/>
    <n v="165.8"/>
    <n v="160.80000000000001"/>
    <n v="164.9"/>
    <n v="169.9"/>
    <n v="190.7"/>
    <n v="166.6"/>
    <n v="166.4"/>
    <n v="4354.2000000000007"/>
  </r>
  <r>
    <x v="1"/>
    <x v="9"/>
    <s v="January"/>
    <s v="January-2022"/>
    <x v="3"/>
    <n v="2186.6999999999998"/>
    <n v="475.4"/>
    <n v="321.3"/>
    <n v="328.9"/>
    <n v="161.6"/>
    <n v="152.69999999999999"/>
    <n v="158.4"/>
    <n v="161"/>
    <n v="196.4"/>
    <n v="158.6"/>
    <n v="165"/>
    <n v="4301"/>
  </r>
  <r>
    <x v="2"/>
    <x v="9"/>
    <s v="January"/>
    <s v="January-2022"/>
    <x v="3"/>
    <n v="2164.1999999999998"/>
    <n v="499.1"/>
    <n v="325.60000000000002"/>
    <n v="334.4"/>
    <n v="164.2"/>
    <n v="156.5"/>
    <n v="161.19999999999999"/>
    <n v="164.7"/>
    <n v="192.2"/>
    <n v="162.69999999999999"/>
    <n v="165.7"/>
    <n v="4324.7999999999993"/>
  </r>
  <r>
    <x v="0"/>
    <x v="9"/>
    <s v="February"/>
    <s v="February-2022"/>
    <x v="3"/>
    <n v="2150.4"/>
    <n v="518.79999999999995"/>
    <n v="331.2"/>
    <n v="339.8"/>
    <n v="167.4"/>
    <n v="161.19999999999999"/>
    <n v="165.5"/>
    <n v="170.3"/>
    <n v="191.5"/>
    <n v="167.3"/>
    <n v="166.7"/>
    <n v="4363.4000000000005"/>
  </r>
  <r>
    <x v="1"/>
    <x v="9"/>
    <s v="February"/>
    <s v="February-2022"/>
    <x v="3"/>
    <n v="2183.5"/>
    <n v="479.5"/>
    <n v="322.89999999999998"/>
    <n v="331.4"/>
    <n v="163"/>
    <n v="153.1"/>
    <n v="159.5"/>
    <n v="162"/>
    <n v="196.5"/>
    <n v="159.4"/>
    <n v="165.5"/>
    <n v="4310.7999999999993"/>
  </r>
  <r>
    <x v="2"/>
    <x v="9"/>
    <s v="February"/>
    <s v="February-2022"/>
    <x v="3"/>
    <n v="2161.2000000000003"/>
    <n v="502.80000000000007"/>
    <n v="327.3"/>
    <n v="336.6"/>
    <n v="165.7"/>
    <n v="156.9"/>
    <n v="162.1"/>
    <n v="165.4"/>
    <n v="192.8"/>
    <n v="163.5"/>
    <n v="166.1"/>
    <n v="4334.3"/>
  </r>
  <r>
    <x v="0"/>
    <x v="9"/>
    <s v="March"/>
    <s v="March-2022"/>
    <x v="3"/>
    <n v="2179.1000000000004"/>
    <n v="523.70000000000005"/>
    <n v="331.8"/>
    <n v="343.4"/>
    <n v="168.9"/>
    <n v="162"/>
    <n v="166.6"/>
    <n v="170.6"/>
    <n v="192.3"/>
    <n v="168.3"/>
    <n v="168.7"/>
    <n v="4406.7000000000007"/>
  </r>
  <r>
    <x v="1"/>
    <x v="9"/>
    <s v="March"/>
    <s v="March-2022"/>
    <x v="3"/>
    <n v="2196.3000000000002"/>
    <n v="484.6"/>
    <n v="323.89999999999998"/>
    <n v="335"/>
    <n v="164.5"/>
    <n v="154.19999999999999"/>
    <n v="160.80000000000001"/>
    <n v="162.69999999999999"/>
    <n v="197.5"/>
    <n v="160.6"/>
    <n v="166.5"/>
    <n v="4340.1000000000004"/>
  </r>
  <r>
    <x v="2"/>
    <x v="9"/>
    <s v="March"/>
    <s v="March-2022"/>
    <x v="3"/>
    <n v="2184.2000000000003"/>
    <n v="507.79999999999995"/>
    <n v="328.1"/>
    <n v="340.2"/>
    <n v="167.2"/>
    <n v="157.9"/>
    <n v="163.30000000000001"/>
    <n v="166"/>
    <n v="193.7"/>
    <n v="164.6"/>
    <n v="167.7"/>
    <n v="4373"/>
  </r>
  <r>
    <x v="0"/>
    <x v="9"/>
    <s v="April"/>
    <s v="April-2022"/>
    <x v="0"/>
    <n v="2206.6"/>
    <n v="529.70000000000005"/>
    <n v="334.7"/>
    <n v="346"/>
    <n v="173.3"/>
    <n v="166.2"/>
    <n v="167.2"/>
    <n v="170.9"/>
    <n v="192.8"/>
    <n v="170.2"/>
    <n v="170.8"/>
    <n v="4457.5999999999995"/>
  </r>
  <r>
    <x v="1"/>
    <x v="9"/>
    <s v="April"/>
    <s v="April-2022"/>
    <x v="0"/>
    <n v="2230.4"/>
    <n v="489.2"/>
    <n v="326.8"/>
    <n v="337.4"/>
    <n v="170.5"/>
    <n v="159.30000000000001"/>
    <n v="162.19999999999999"/>
    <n v="164"/>
    <n v="197.1"/>
    <n v="163.1"/>
    <n v="169.2"/>
    <n v="4400.0000000000009"/>
  </r>
  <r>
    <x v="2"/>
    <x v="9"/>
    <s v="April"/>
    <s v="April-2022"/>
    <x v="0"/>
    <n v="2214.3000000000002"/>
    <n v="513.20000000000005"/>
    <n v="331"/>
    <n v="342.8"/>
    <n v="172.2"/>
    <n v="162.6"/>
    <n v="164.4"/>
    <n v="166.9"/>
    <n v="193.9"/>
    <n v="166.8"/>
    <n v="170.1"/>
    <n v="4428.1000000000004"/>
  </r>
  <r>
    <x v="0"/>
    <x v="9"/>
    <s v="May"/>
    <s v="May-2022"/>
    <x v="0"/>
    <n v="2226.8000000000002"/>
    <n v="535.5"/>
    <n v="336.4"/>
    <n v="346.2"/>
    <n v="175.3"/>
    <n v="167.1"/>
    <n v="167.6"/>
    <n v="171.8"/>
    <n v="192.9"/>
    <n v="170.9"/>
    <n v="172.5"/>
    <n v="4490.4999999999991"/>
  </r>
  <r>
    <x v="1"/>
    <x v="9"/>
    <s v="May"/>
    <s v="May-2022"/>
    <x v="0"/>
    <n v="2262.2000000000003"/>
    <n v="493.7"/>
    <n v="328.6"/>
    <n v="338.29999999999995"/>
    <n v="173.5"/>
    <n v="159.4"/>
    <n v="163.19999999999999"/>
    <n v="165.2"/>
    <n v="197.5"/>
    <n v="163.80000000000001"/>
    <n v="170.8"/>
    <n v="4445.4000000000005"/>
  </r>
  <r>
    <x v="2"/>
    <x v="9"/>
    <s v="May"/>
    <s v="May-2022"/>
    <x v="0"/>
    <n v="2238.9000000000005"/>
    <n v="518.6"/>
    <n v="332.7"/>
    <n v="343.20000000000005"/>
    <n v="174.6"/>
    <n v="163"/>
    <n v="165.1"/>
    <n v="167.9"/>
    <n v="194.1"/>
    <n v="167.5"/>
    <n v="171.7"/>
    <n v="4465.6000000000004"/>
  </r>
  <r>
    <x v="0"/>
    <x v="9"/>
    <s v="June"/>
    <s v="June-2022"/>
    <x v="0"/>
    <n v="2248.3000000000002"/>
    <n v="539.79999999999995"/>
    <n v="337.1"/>
    <n v="347.7"/>
    <n v="176.7"/>
    <n v="165.5"/>
    <n v="168"/>
    <n v="172.6"/>
    <n v="192.9"/>
    <n v="171"/>
    <n v="173.6"/>
    <n v="4519.5999999999995"/>
  </r>
  <r>
    <x v="1"/>
    <x v="9"/>
    <s v="June"/>
    <s v="June-2022"/>
    <x v="0"/>
    <n v="2287.5"/>
    <n v="498.4"/>
    <n v="328.9"/>
    <n v="340.1"/>
    <n v="174.9"/>
    <n v="157.19999999999999"/>
    <n v="164.1"/>
    <n v="166.5"/>
    <n v="198.3"/>
    <n v="163.80000000000001"/>
    <n v="171.4"/>
    <n v="4479.7000000000007"/>
  </r>
  <r>
    <x v="2"/>
    <x v="9"/>
    <s v="June"/>
    <s v="June-2022"/>
    <x v="0"/>
    <n v="2261.9"/>
    <n v="523"/>
    <n v="333.20000000000005"/>
    <n v="344.8"/>
    <n v="176"/>
    <n v="161.1"/>
    <n v="165.8"/>
    <n v="169"/>
    <n v="194.3"/>
    <n v="167.5"/>
    <n v="172.6"/>
    <n v="4496.6000000000013"/>
  </r>
  <r>
    <x v="0"/>
    <x v="9"/>
    <s v="July"/>
    <s v="July-2022"/>
    <x v="0"/>
    <n v="2252.5"/>
    <n v="544"/>
    <n v="339.1"/>
    <n v="348.5"/>
    <n v="179.6"/>
    <n v="166.3"/>
    <n v="168.6"/>
    <n v="174.7"/>
    <n v="193.2"/>
    <n v="171.8"/>
    <n v="174.3"/>
    <n v="4538.3"/>
  </r>
  <r>
    <x v="1"/>
    <x v="9"/>
    <s v="July"/>
    <s v="July-2022"/>
    <x v="0"/>
    <n v="2291.6"/>
    <n v="502"/>
    <n v="330.9"/>
    <n v="341.5"/>
    <n v="179.5"/>
    <n v="157.4"/>
    <n v="164.6"/>
    <n v="169.1"/>
    <n v="198.6"/>
    <n v="164.7"/>
    <n v="172.3"/>
    <n v="4499.9000000000005"/>
  </r>
  <r>
    <x v="2"/>
    <x v="9"/>
    <s v="July"/>
    <s v="July-2022"/>
    <x v="0"/>
    <n v="2266.3000000000002"/>
    <n v="526.90000000000009"/>
    <n v="335.20000000000005"/>
    <n v="345.79999999999995"/>
    <n v="179.6"/>
    <n v="161.6"/>
    <n v="166.3"/>
    <n v="171.4"/>
    <n v="194.6"/>
    <n v="168.4"/>
    <n v="173.4"/>
    <n v="4516.1000000000004"/>
  </r>
  <r>
    <x v="0"/>
    <x v="9"/>
    <s v="August"/>
    <s v="August-2022"/>
    <x v="0"/>
    <n v="2255.7999999999997"/>
    <n v="547.9"/>
    <n v="341.3"/>
    <n v="350.5"/>
    <n v="179.1"/>
    <n v="166.6"/>
    <n v="169.3"/>
    <n v="175.7"/>
    <n v="193.7"/>
    <n v="172.6"/>
    <n v="175.3"/>
    <n v="4552.5"/>
  </r>
  <r>
    <x v="1"/>
    <x v="9"/>
    <s v="August"/>
    <s v="August-2022"/>
    <x v="0"/>
    <n v="2293.6999999999998"/>
    <n v="505.29999999999995"/>
    <n v="333.2"/>
    <n v="344"/>
    <n v="178.4"/>
    <n v="157.69999999999999"/>
    <n v="165.1"/>
    <n v="169.9"/>
    <n v="198.7"/>
    <n v="165.4"/>
    <n v="173.1"/>
    <n v="4511.3999999999987"/>
  </r>
  <r>
    <x v="2"/>
    <x v="9"/>
    <s v="August"/>
    <s v="August-2022"/>
    <x v="0"/>
    <n v="2269.2000000000003"/>
    <n v="530.70000000000005"/>
    <n v="337.5"/>
    <n v="348"/>
    <n v="178.8"/>
    <n v="161.9"/>
    <n v="166.9"/>
    <n v="172.3"/>
    <n v="195"/>
    <n v="169.1"/>
    <n v="174.3"/>
    <n v="4529.4000000000015"/>
  </r>
  <r>
    <x v="0"/>
    <x v="9"/>
    <s v="September"/>
    <s v="September-2022"/>
    <x v="0"/>
    <n v="2267.8000000000002"/>
    <n v="552.5"/>
    <n v="343.1"/>
    <n v="351"/>
    <n v="179.7"/>
    <n v="166.9"/>
    <n v="170"/>
    <n v="176.2"/>
    <n v="194.5"/>
    <n v="173.1"/>
    <n v="176.4"/>
    <n v="4574.8"/>
  </r>
  <r>
    <x v="1"/>
    <x v="9"/>
    <s v="September"/>
    <s v="September-2022"/>
    <x v="0"/>
    <n v="2306.4"/>
    <n v="509.7"/>
    <n v="334.5"/>
    <n v="344.9"/>
    <n v="179.2"/>
    <n v="158.19999999999999"/>
    <n v="165.8"/>
    <n v="170.9"/>
    <n v="199.7"/>
    <n v="166.1"/>
    <n v="174.1"/>
    <n v="4535.3999999999996"/>
  </r>
  <r>
    <x v="2"/>
    <x v="9"/>
    <s v="September"/>
    <s v="September-2022"/>
    <x v="0"/>
    <n v="2280.9"/>
    <n v="535.1"/>
    <n v="339"/>
    <n v="348.70000000000005"/>
    <n v="179.5"/>
    <n v="162.30000000000001"/>
    <n v="167.6"/>
    <n v="173.1"/>
    <n v="195.9"/>
    <n v="169.7"/>
    <n v="175.3"/>
    <n v="4551.7999999999993"/>
  </r>
  <r>
    <x v="0"/>
    <x v="9"/>
    <s v="October"/>
    <s v="October-2022"/>
    <x v="0"/>
    <n v="2284.5"/>
    <n v="556.4"/>
    <n v="345.6"/>
    <n v="353.2"/>
    <n v="180.8"/>
    <n v="167.4"/>
    <n v="170.6"/>
    <n v="176.5"/>
    <n v="194.9"/>
    <n v="173.9"/>
    <n v="177.9"/>
    <n v="4603.7999999999993"/>
  </r>
  <r>
    <x v="1"/>
    <x v="9"/>
    <s v="October"/>
    <s v="October-2022"/>
    <x v="0"/>
    <n v="2322.3000000000002"/>
    <n v="511.70000000000005"/>
    <n v="337.2"/>
    <n v="347"/>
    <n v="180"/>
    <n v="158.80000000000001"/>
    <n v="166.3"/>
    <n v="171.2"/>
    <n v="200.1"/>
    <n v="166.8"/>
    <n v="175.3"/>
    <n v="4561.4000000000005"/>
  </r>
  <r>
    <x v="2"/>
    <x v="9"/>
    <s v="October"/>
    <s v="October-2022"/>
    <x v="0"/>
    <n v="2297.3000000000002"/>
    <n v="538.20000000000005"/>
    <n v="341.6"/>
    <n v="350.79999999999995"/>
    <n v="180.5"/>
    <n v="162.9"/>
    <n v="168.2"/>
    <n v="173.4"/>
    <n v="196.3"/>
    <n v="170.5"/>
    <n v="176.7"/>
    <n v="4579.7"/>
  </r>
  <r>
    <x v="0"/>
    <x v="9"/>
    <s v="November"/>
    <s v="November-2022"/>
    <x v="0"/>
    <n v="2287.6999999999998"/>
    <n v="559.29999999999995"/>
    <n v="347.3"/>
    <n v="355.70000000000005"/>
    <n v="181.9"/>
    <n v="167.5"/>
    <n v="170.8"/>
    <n v="176.9"/>
    <n v="195.5"/>
    <n v="174.6"/>
    <n v="177.8"/>
    <n v="4617.2000000000007"/>
  </r>
  <r>
    <x v="1"/>
    <x v="9"/>
    <s v="November"/>
    <s v="November-2022"/>
    <x v="0"/>
    <n v="2314.4"/>
    <n v="514.9"/>
    <n v="338.70000000000005"/>
    <n v="349.6"/>
    <n v="180.3"/>
    <n v="158.9"/>
    <n v="166.7"/>
    <n v="171.5"/>
    <n v="200.6"/>
    <n v="167.4"/>
    <n v="174.1"/>
    <n v="4563"/>
  </r>
  <r>
    <x v="2"/>
    <x v="9"/>
    <s v="November"/>
    <s v="November-2022"/>
    <x v="0"/>
    <n v="2296.8000000000002"/>
    <n v="541.4"/>
    <n v="343.20000000000005"/>
    <n v="353.4"/>
    <n v="181.3"/>
    <n v="163"/>
    <n v="168.5"/>
    <n v="173.7"/>
    <n v="196.9"/>
    <n v="171.1"/>
    <n v="176.5"/>
    <n v="4589.3000000000011"/>
  </r>
  <r>
    <x v="0"/>
    <x v="9"/>
    <s v="December"/>
    <s v="December-2022"/>
    <x v="0"/>
    <n v="2277.1"/>
    <n v="561.79999999999995"/>
    <n v="347.1"/>
    <n v="359.2"/>
    <n v="182.8"/>
    <n v="167.8"/>
    <n v="171.2"/>
    <n v="177.3"/>
    <n v="195.9"/>
    <n v="175.5"/>
    <n v="177.1"/>
    <n v="4615.6999999999989"/>
  </r>
  <r>
    <x v="1"/>
    <x v="9"/>
    <s v="December"/>
    <s v="December-2022"/>
    <x v="0"/>
    <n v="2295.7999999999997"/>
    <n v="517.9"/>
    <n v="338"/>
    <n v="353.2"/>
    <n v="180.6"/>
    <n v="159.4"/>
    <n v="167.1"/>
    <n v="171.8"/>
    <n v="201.1"/>
    <n v="168.2"/>
    <n v="174.1"/>
    <n v="4553.0999999999995"/>
  </r>
  <r>
    <x v="2"/>
    <x v="9"/>
    <s v="December"/>
    <s v="December-2022"/>
    <x v="0"/>
    <n v="2283.4"/>
    <n v="544"/>
    <n v="342.79999999999995"/>
    <n v="356.9"/>
    <n v="182"/>
    <n v="163.4"/>
    <n v="168.9"/>
    <n v="174.1"/>
    <n v="197.3"/>
    <n v="172"/>
    <n v="175.7"/>
    <n v="4584.8"/>
  </r>
  <r>
    <x v="0"/>
    <x v="10"/>
    <s v="January"/>
    <s v="January-2023"/>
    <x v="0"/>
    <n v="2283.2000000000003"/>
    <n v="563.9"/>
    <n v="349.29999999999995"/>
    <n v="363.1"/>
    <n v="183.2"/>
    <n v="168.2"/>
    <n v="171.8"/>
    <n v="177.8"/>
    <n v="196.9"/>
    <n v="176.5"/>
    <n v="177.8"/>
    <n v="4633.8999999999996"/>
  </r>
  <r>
    <x v="1"/>
    <x v="10"/>
    <s v="January"/>
    <s v="January-2023"/>
    <x v="0"/>
    <n v="2310.2000000000003"/>
    <n v="520.6"/>
    <n v="340.1"/>
    <n v="357.3"/>
    <n v="180.1"/>
    <n v="159.5"/>
    <n v="167.8"/>
    <n v="171.8"/>
    <n v="201.6"/>
    <n v="168.9"/>
    <n v="174.9"/>
    <n v="4577.9000000000005"/>
  </r>
  <r>
    <x v="2"/>
    <x v="10"/>
    <s v="January"/>
    <s v="January-2023"/>
    <x v="0"/>
    <n v="2292.6999999999998"/>
    <n v="546.29999999999995"/>
    <n v="345"/>
    <n v="360.9"/>
    <n v="182"/>
    <n v="163.6"/>
    <n v="169.5"/>
    <n v="174.3"/>
    <n v="198.2"/>
    <n v="172.8"/>
    <n v="176.5"/>
    <n v="4605.3"/>
  </r>
  <r>
    <x v="0"/>
    <x v="10"/>
    <s v="February"/>
    <s v="February-2023"/>
    <x v="0"/>
    <n v="2265.6999999999998"/>
    <n v="566.6"/>
    <n v="352.1"/>
    <n v="367.29999999999995"/>
    <n v="181.6"/>
    <n v="169"/>
    <n v="172.8"/>
    <n v="178.5"/>
    <n v="198.3"/>
    <n v="177.9"/>
    <n v="178"/>
    <n v="4629.8"/>
  </r>
  <r>
    <x v="1"/>
    <x v="10"/>
    <s v="February"/>
    <s v="February-2023"/>
    <x v="0"/>
    <n v="2303.1999999999998"/>
    <n v="525.5"/>
    <n v="342.7"/>
    <n v="362.20000000000005"/>
    <n v="182.8"/>
    <n v="159.80000000000001"/>
    <n v="168.4"/>
    <n v="172.5"/>
    <n v="202.7"/>
    <n v="170"/>
    <n v="176.3"/>
    <n v="4589.8"/>
  </r>
  <r>
    <x v="2"/>
    <x v="10"/>
    <s v="February"/>
    <s v="February-2023"/>
    <x v="0"/>
    <n v="2279.1"/>
    <n v="550"/>
    <n v="347.7"/>
    <n v="365.4"/>
    <n v="182.1"/>
    <n v="164.2"/>
    <n v="170.3"/>
    <n v="175"/>
    <n v="199.5"/>
    <n v="174.1"/>
    <n v="177.2"/>
    <n v="4607.3999999999996"/>
  </r>
  <r>
    <x v="0"/>
    <x v="10"/>
    <s v="March"/>
    <s v="March-2023"/>
    <x v="0"/>
    <n v="2265.8000000000002"/>
    <n v="566.6"/>
    <n v="352.1"/>
    <n v="367.29999999999995"/>
    <n v="181.4"/>
    <n v="169"/>
    <n v="172.8"/>
    <n v="178.5"/>
    <n v="198.4"/>
    <n v="177.9"/>
    <n v="178"/>
    <n v="4629.7999999999993"/>
  </r>
  <r>
    <x v="1"/>
    <x v="10"/>
    <s v="March"/>
    <s v="March-2023"/>
    <x v="0"/>
    <n v="2303.4"/>
    <n v="525.4"/>
    <n v="342.7"/>
    <n v="362.3"/>
    <n v="182.6"/>
    <n v="159.80000000000001"/>
    <n v="168.4"/>
    <n v="172.5"/>
    <n v="202.7"/>
    <n v="170"/>
    <n v="176.3"/>
    <n v="4589.8"/>
  </r>
  <r>
    <x v="2"/>
    <x v="10"/>
    <s v="March"/>
    <s v="March-2023"/>
    <x v="0"/>
    <n v="2279.1999999999998"/>
    <n v="549.9"/>
    <n v="347.7"/>
    <n v="365.4"/>
    <n v="181.9"/>
    <n v="164.2"/>
    <n v="170.3"/>
    <n v="175"/>
    <n v="199.5"/>
    <n v="174.1"/>
    <n v="177.2"/>
    <n v="4607.2000000000007"/>
  </r>
  <r>
    <x v="0"/>
    <x v="10"/>
    <s v="April"/>
    <s v="April-2023"/>
    <x v="0"/>
    <n v="2274.1999999999998"/>
    <n v="568.20000000000005"/>
    <n v="354.29999999999995"/>
    <n v="371"/>
    <n v="181.5"/>
    <n v="169.4"/>
    <n v="173.2"/>
    <n v="179.4"/>
    <n v="199.5"/>
    <n v="178.9"/>
    <n v="178.8"/>
    <n v="4649.5999999999995"/>
  </r>
  <r>
    <x v="1"/>
    <x v="10"/>
    <s v="April"/>
    <s v="April-2023"/>
    <x v="0"/>
    <n v="2317.7000000000003"/>
    <n v="527.6"/>
    <n v="344.79999999999995"/>
    <n v="365.9"/>
    <n v="182.1"/>
    <n v="160.1"/>
    <n v="168.8"/>
    <n v="174.2"/>
    <n v="203.5"/>
    <n v="170.9"/>
    <n v="177.4"/>
    <n v="4615.6000000000004"/>
  </r>
  <r>
    <x v="2"/>
    <x v="10"/>
    <s v="April"/>
    <s v="April-2023"/>
    <x v="0"/>
    <n v="2289.6000000000004"/>
    <n v="551.79999999999995"/>
    <n v="349.79999999999995"/>
    <n v="369"/>
    <n v="181.7"/>
    <n v="164.5"/>
    <n v="170.7"/>
    <n v="176.4"/>
    <n v="200.6"/>
    <n v="175"/>
    <n v="178.1"/>
    <n v="4629.1000000000004"/>
  </r>
  <r>
    <x v="0"/>
    <x v="10"/>
    <s v="May"/>
    <s v="May-2023"/>
    <x v="0"/>
    <n v="2290.7000000000007"/>
    <n v="569.90000000000009"/>
    <n v="355.4"/>
    <n v="372.70000000000005"/>
    <n v="182.5"/>
    <n v="169.7"/>
    <n v="173.8"/>
    <n v="180.3"/>
    <n v="199.9"/>
    <n v="179.5"/>
    <n v="179.8"/>
    <n v="4674.4000000000005"/>
  </r>
  <r>
    <x v="1"/>
    <x v="10"/>
    <s v="May"/>
    <s v="May-2023"/>
    <x v="0"/>
    <n v="2335.1"/>
    <n v="528.70000000000005"/>
    <n v="345.7"/>
    <n v="367.79999999999995"/>
    <n v="183.4"/>
    <n v="160.4"/>
    <n v="169.2"/>
    <n v="174.8"/>
    <n v="204.2"/>
    <n v="171.6"/>
    <n v="178.2"/>
    <n v="4640.9000000000005"/>
  </r>
  <r>
    <x v="2"/>
    <x v="10"/>
    <s v="May"/>
    <s v="May-2023"/>
    <x v="0"/>
    <n v="2306.9"/>
    <n v="553.20000000000005"/>
    <n v="350.79999999999995"/>
    <n v="370.9"/>
    <n v="182.8"/>
    <n v="164.8"/>
    <n v="171.2"/>
    <n v="177.1"/>
    <n v="201"/>
    <n v="175.7"/>
    <n v="179.1"/>
    <n v="4654.400000000001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6">
  <r>
    <s v="Rural"/>
    <n v="2022"/>
    <s v="June"/>
    <x v="0"/>
    <n v="2248.3000000000002"/>
    <n v="539.79999999999995"/>
    <n v="337.1"/>
    <n v="347.7"/>
    <n v="176.7"/>
    <n v="165.5"/>
    <n v="168"/>
    <n v="172.6"/>
    <n v="192.9"/>
    <n v="171"/>
    <n v="173.6"/>
    <n v="4519.5999999999995"/>
  </r>
  <r>
    <s v="Urban"/>
    <n v="2022"/>
    <s v="June"/>
    <x v="0"/>
    <n v="2287.5"/>
    <n v="498.4"/>
    <n v="328.9"/>
    <n v="340.1"/>
    <n v="174.9"/>
    <n v="157.19999999999999"/>
    <n v="164.1"/>
    <n v="166.5"/>
    <n v="198.3"/>
    <n v="163.80000000000001"/>
    <n v="171.4"/>
    <n v="4479.7000000000007"/>
  </r>
  <r>
    <s v="Rural+Urban"/>
    <n v="2022"/>
    <s v="June"/>
    <x v="0"/>
    <n v="2261.9"/>
    <n v="523"/>
    <n v="333.20000000000005"/>
    <n v="344.8"/>
    <n v="176"/>
    <n v="161.1"/>
    <n v="165.8"/>
    <n v="169"/>
    <n v="194.3"/>
    <n v="167.5"/>
    <n v="172.6"/>
    <n v="4496.6000000000013"/>
  </r>
  <r>
    <s v="Rural"/>
    <n v="2022"/>
    <s v="July"/>
    <x v="1"/>
    <n v="2252.5"/>
    <n v="544"/>
    <n v="339.1"/>
    <n v="348.5"/>
    <n v="179.6"/>
    <n v="166.3"/>
    <n v="168.6"/>
    <n v="174.7"/>
    <n v="193.2"/>
    <n v="171.8"/>
    <n v="174.3"/>
    <n v="4538.3"/>
  </r>
  <r>
    <s v="Urban"/>
    <n v="2022"/>
    <s v="July"/>
    <x v="1"/>
    <n v="2291.6"/>
    <n v="502"/>
    <n v="330.9"/>
    <n v="341.5"/>
    <n v="179.5"/>
    <n v="157.4"/>
    <n v="164.6"/>
    <n v="169.1"/>
    <n v="198.6"/>
    <n v="164.7"/>
    <n v="172.3"/>
    <n v="4499.9000000000005"/>
  </r>
  <r>
    <s v="Rural+Urban"/>
    <n v="2022"/>
    <s v="July"/>
    <x v="1"/>
    <n v="2266.3000000000002"/>
    <n v="526.90000000000009"/>
    <n v="335.20000000000005"/>
    <n v="345.79999999999995"/>
    <n v="179.6"/>
    <n v="161.6"/>
    <n v="166.3"/>
    <n v="171.4"/>
    <n v="194.6"/>
    <n v="168.4"/>
    <n v="173.4"/>
    <n v="4516.1000000000004"/>
  </r>
  <r>
    <s v="Rural"/>
    <n v="2022"/>
    <s v="August"/>
    <x v="2"/>
    <n v="2255.7999999999997"/>
    <n v="547.9"/>
    <n v="341.3"/>
    <n v="350.5"/>
    <n v="179.1"/>
    <n v="166.6"/>
    <n v="169.3"/>
    <n v="175.7"/>
    <n v="193.7"/>
    <n v="172.6"/>
    <n v="175.3"/>
    <n v="4552.5"/>
  </r>
  <r>
    <s v="Urban"/>
    <n v="2022"/>
    <s v="August"/>
    <x v="2"/>
    <n v="2293.6999999999998"/>
    <n v="505.29999999999995"/>
    <n v="333.2"/>
    <n v="344"/>
    <n v="178.4"/>
    <n v="157.69999999999999"/>
    <n v="165.1"/>
    <n v="169.9"/>
    <n v="198.7"/>
    <n v="165.4"/>
    <n v="173.1"/>
    <n v="4511.3999999999987"/>
  </r>
  <r>
    <s v="Rural+Urban"/>
    <n v="2022"/>
    <s v="August"/>
    <x v="2"/>
    <n v="2269.2000000000003"/>
    <n v="530.70000000000005"/>
    <n v="337.5"/>
    <n v="348"/>
    <n v="178.8"/>
    <n v="161.9"/>
    <n v="166.9"/>
    <n v="172.3"/>
    <n v="195"/>
    <n v="169.1"/>
    <n v="174.3"/>
    <n v="4529.4000000000015"/>
  </r>
  <r>
    <s v="Rural"/>
    <n v="2022"/>
    <s v="September"/>
    <x v="3"/>
    <n v="2267.8000000000002"/>
    <n v="552.5"/>
    <n v="343.1"/>
    <n v="351"/>
    <n v="179.7"/>
    <n v="166.9"/>
    <n v="170"/>
    <n v="176.2"/>
    <n v="194.5"/>
    <n v="173.1"/>
    <n v="176.4"/>
    <n v="4574.8"/>
  </r>
  <r>
    <s v="Urban"/>
    <n v="2022"/>
    <s v="September"/>
    <x v="3"/>
    <n v="2306.4"/>
    <n v="509.7"/>
    <n v="334.5"/>
    <n v="344.9"/>
    <n v="179.2"/>
    <n v="158.19999999999999"/>
    <n v="165.8"/>
    <n v="170.9"/>
    <n v="199.7"/>
    <n v="166.1"/>
    <n v="174.1"/>
    <n v="4535.3999999999996"/>
  </r>
  <r>
    <s v="Rural+Urban"/>
    <n v="2022"/>
    <s v="September"/>
    <x v="3"/>
    <n v="2280.9"/>
    <n v="535.1"/>
    <n v="339"/>
    <n v="348.70000000000005"/>
    <n v="179.5"/>
    <n v="162.30000000000001"/>
    <n v="167.6"/>
    <n v="173.1"/>
    <n v="195.9"/>
    <n v="169.7"/>
    <n v="175.3"/>
    <n v="4551.7999999999993"/>
  </r>
  <r>
    <s v="Rural"/>
    <n v="2022"/>
    <s v="October"/>
    <x v="4"/>
    <n v="2284.5"/>
    <n v="556.4"/>
    <n v="345.6"/>
    <n v="353.2"/>
    <n v="180.8"/>
    <n v="167.4"/>
    <n v="170.6"/>
    <n v="176.5"/>
    <n v="194.9"/>
    <n v="173.9"/>
    <n v="177.9"/>
    <n v="4603.7999999999993"/>
  </r>
  <r>
    <s v="Urban"/>
    <n v="2022"/>
    <s v="October"/>
    <x v="4"/>
    <n v="2322.3000000000002"/>
    <n v="511.70000000000005"/>
    <n v="337.2"/>
    <n v="347"/>
    <n v="180"/>
    <n v="158.80000000000001"/>
    <n v="166.3"/>
    <n v="171.2"/>
    <n v="200.1"/>
    <n v="166.8"/>
    <n v="175.3"/>
    <n v="4561.4000000000005"/>
  </r>
  <r>
    <s v="Rural+Urban"/>
    <n v="2022"/>
    <s v="October"/>
    <x v="4"/>
    <n v="2297.3000000000002"/>
    <n v="538.20000000000005"/>
    <n v="341.6"/>
    <n v="350.79999999999995"/>
    <n v="180.5"/>
    <n v="162.9"/>
    <n v="168.2"/>
    <n v="173.4"/>
    <n v="196.3"/>
    <n v="170.5"/>
    <n v="176.7"/>
    <n v="4579.7"/>
  </r>
  <r>
    <s v="Rural"/>
    <n v="2022"/>
    <s v="November"/>
    <x v="5"/>
    <n v="2287.6999999999998"/>
    <n v="559.29999999999995"/>
    <n v="347.3"/>
    <n v="355.70000000000005"/>
    <n v="181.9"/>
    <n v="167.5"/>
    <n v="170.8"/>
    <n v="176.9"/>
    <n v="195.5"/>
    <n v="174.6"/>
    <n v="177.8"/>
    <n v="4617.2000000000007"/>
  </r>
  <r>
    <s v="Urban"/>
    <n v="2022"/>
    <s v="November"/>
    <x v="5"/>
    <n v="2314.4"/>
    <n v="514.9"/>
    <n v="338.70000000000005"/>
    <n v="349.6"/>
    <n v="180.3"/>
    <n v="158.9"/>
    <n v="166.7"/>
    <n v="171.5"/>
    <n v="200.6"/>
    <n v="167.4"/>
    <n v="174.1"/>
    <n v="4563"/>
  </r>
  <r>
    <s v="Rural+Urban"/>
    <n v="2022"/>
    <s v="November"/>
    <x v="5"/>
    <n v="2296.8000000000002"/>
    <n v="541.4"/>
    <n v="343.20000000000005"/>
    <n v="353.4"/>
    <n v="181.3"/>
    <n v="163"/>
    <n v="168.5"/>
    <n v="173.7"/>
    <n v="196.9"/>
    <n v="171.1"/>
    <n v="176.5"/>
    <n v="4589.3000000000011"/>
  </r>
  <r>
    <s v="Rural"/>
    <n v="2022"/>
    <s v="December"/>
    <x v="6"/>
    <n v="2277.1"/>
    <n v="561.79999999999995"/>
    <n v="347.1"/>
    <n v="359.2"/>
    <n v="182.8"/>
    <n v="167.8"/>
    <n v="171.2"/>
    <n v="177.3"/>
    <n v="195.9"/>
    <n v="175.5"/>
    <n v="177.1"/>
    <n v="4615.6999999999989"/>
  </r>
  <r>
    <s v="Urban"/>
    <n v="2022"/>
    <s v="December"/>
    <x v="6"/>
    <n v="2295.7999999999997"/>
    <n v="517.9"/>
    <n v="338"/>
    <n v="353.2"/>
    <n v="180.6"/>
    <n v="159.4"/>
    <n v="167.1"/>
    <n v="171.8"/>
    <n v="201.1"/>
    <n v="168.2"/>
    <n v="174.1"/>
    <n v="4553.0999999999995"/>
  </r>
  <r>
    <s v="Rural+Urban"/>
    <n v="2022"/>
    <s v="December"/>
    <x v="6"/>
    <n v="2283.4"/>
    <n v="544"/>
    <n v="342.79999999999995"/>
    <n v="356.9"/>
    <n v="182"/>
    <n v="163.4"/>
    <n v="168.9"/>
    <n v="174.1"/>
    <n v="197.3"/>
    <n v="172"/>
    <n v="175.7"/>
    <n v="4584.8"/>
  </r>
  <r>
    <s v="Rural"/>
    <n v="2023"/>
    <s v="January"/>
    <x v="7"/>
    <n v="2283.2000000000003"/>
    <n v="563.9"/>
    <n v="349.29999999999995"/>
    <n v="363.1"/>
    <n v="183.2"/>
    <n v="168.2"/>
    <n v="171.8"/>
    <n v="177.8"/>
    <n v="196.9"/>
    <n v="176.5"/>
    <n v="177.8"/>
    <n v="4633.8999999999996"/>
  </r>
  <r>
    <s v="Urban"/>
    <n v="2023"/>
    <s v="January"/>
    <x v="7"/>
    <n v="2310.2000000000003"/>
    <n v="520.6"/>
    <n v="340.1"/>
    <n v="357.3"/>
    <n v="180.1"/>
    <n v="159.5"/>
    <n v="167.8"/>
    <n v="171.8"/>
    <n v="201.6"/>
    <n v="168.9"/>
    <n v="174.9"/>
    <n v="4577.9000000000005"/>
  </r>
  <r>
    <s v="Rural+Urban"/>
    <n v="2023"/>
    <s v="January"/>
    <x v="7"/>
    <n v="2292.6999999999998"/>
    <n v="546.29999999999995"/>
    <n v="345"/>
    <n v="360.9"/>
    <n v="182"/>
    <n v="163.6"/>
    <n v="169.5"/>
    <n v="174.3"/>
    <n v="198.2"/>
    <n v="172.8"/>
    <n v="176.5"/>
    <n v="4605.3"/>
  </r>
  <r>
    <s v="Rural"/>
    <n v="2023"/>
    <s v="February"/>
    <x v="8"/>
    <n v="2265.6999999999998"/>
    <n v="566.6"/>
    <n v="352.1"/>
    <n v="367.29999999999995"/>
    <n v="181.6"/>
    <n v="169"/>
    <n v="172.8"/>
    <n v="178.5"/>
    <n v="198.3"/>
    <n v="177.9"/>
    <n v="178"/>
    <n v="4629.8"/>
  </r>
  <r>
    <s v="Urban"/>
    <n v="2023"/>
    <s v="February"/>
    <x v="8"/>
    <n v="2303.1999999999998"/>
    <n v="525.5"/>
    <n v="342.7"/>
    <n v="362.20000000000005"/>
    <n v="182.8"/>
    <n v="159.80000000000001"/>
    <n v="168.4"/>
    <n v="172.5"/>
    <n v="202.7"/>
    <n v="170"/>
    <n v="176.3"/>
    <n v="4589.8"/>
  </r>
  <r>
    <s v="Rural+Urban"/>
    <n v="2023"/>
    <s v="February"/>
    <x v="8"/>
    <n v="2279.1"/>
    <n v="550"/>
    <n v="347.7"/>
    <n v="365.4"/>
    <n v="182.1"/>
    <n v="164.2"/>
    <n v="170.3"/>
    <n v="175"/>
    <n v="199.5"/>
    <n v="174.1"/>
    <n v="177.2"/>
    <n v="4607.3999999999996"/>
  </r>
  <r>
    <s v="Rural"/>
    <n v="2023"/>
    <s v="March"/>
    <x v="9"/>
    <n v="2265.8000000000002"/>
    <n v="566.6"/>
    <n v="352.1"/>
    <n v="367.29999999999995"/>
    <n v="181.4"/>
    <n v="169"/>
    <n v="172.8"/>
    <n v="178.5"/>
    <n v="198.4"/>
    <n v="177.9"/>
    <n v="178"/>
    <n v="4629.7999999999993"/>
  </r>
  <r>
    <s v="Urban"/>
    <n v="2023"/>
    <s v="March"/>
    <x v="9"/>
    <n v="2303.4"/>
    <n v="525.4"/>
    <n v="342.7"/>
    <n v="362.3"/>
    <n v="182.6"/>
    <n v="159.80000000000001"/>
    <n v="168.4"/>
    <n v="172.5"/>
    <n v="202.7"/>
    <n v="170"/>
    <n v="176.3"/>
    <n v="4589.8"/>
  </r>
  <r>
    <s v="Rural+Urban"/>
    <n v="2023"/>
    <s v="March"/>
    <x v="9"/>
    <n v="2279.1999999999998"/>
    <n v="549.9"/>
    <n v="347.7"/>
    <n v="365.4"/>
    <n v="181.9"/>
    <n v="164.2"/>
    <n v="170.3"/>
    <n v="175"/>
    <n v="199.5"/>
    <n v="174.1"/>
    <n v="177.2"/>
    <n v="4607.2000000000007"/>
  </r>
  <r>
    <s v="Rural"/>
    <n v="2023"/>
    <s v="April"/>
    <x v="10"/>
    <n v="2274.1999999999998"/>
    <n v="568.20000000000005"/>
    <n v="354.29999999999995"/>
    <n v="371"/>
    <n v="181.5"/>
    <n v="169.4"/>
    <n v="173.2"/>
    <n v="179.4"/>
    <n v="199.5"/>
    <n v="178.9"/>
    <n v="178.8"/>
    <n v="4649.5999999999995"/>
  </r>
  <r>
    <s v="Urban"/>
    <n v="2023"/>
    <s v="April"/>
    <x v="10"/>
    <n v="2317.7000000000003"/>
    <n v="527.6"/>
    <n v="344.79999999999995"/>
    <n v="365.9"/>
    <n v="182.1"/>
    <n v="160.1"/>
    <n v="168.8"/>
    <n v="174.2"/>
    <n v="203.5"/>
    <n v="170.9"/>
    <n v="177.4"/>
    <n v="4615.6000000000004"/>
  </r>
  <r>
    <s v="Rural+Urban"/>
    <n v="2023"/>
    <s v="April"/>
    <x v="10"/>
    <n v="2289.6000000000004"/>
    <n v="551.79999999999995"/>
    <n v="349.79999999999995"/>
    <n v="369"/>
    <n v="181.7"/>
    <n v="164.5"/>
    <n v="170.7"/>
    <n v="176.4"/>
    <n v="200.6"/>
    <n v="175"/>
    <n v="178.1"/>
    <n v="4629.1000000000004"/>
  </r>
  <r>
    <s v="Rural"/>
    <n v="2023"/>
    <s v="May"/>
    <x v="11"/>
    <n v="2290.7000000000007"/>
    <n v="569.90000000000009"/>
    <n v="355.4"/>
    <n v="372.70000000000005"/>
    <n v="182.5"/>
    <n v="169.7"/>
    <n v="173.8"/>
    <n v="180.3"/>
    <n v="199.9"/>
    <n v="179.5"/>
    <n v="179.8"/>
    <n v="4674.4000000000005"/>
  </r>
  <r>
    <s v="Urban"/>
    <n v="2023"/>
    <s v="May"/>
    <x v="11"/>
    <n v="2335.1"/>
    <n v="528.70000000000005"/>
    <n v="345.7"/>
    <n v="367.79999999999995"/>
    <n v="183.4"/>
    <n v="160.4"/>
    <n v="169.2"/>
    <n v="174.8"/>
    <n v="204.2"/>
    <n v="171.6"/>
    <n v="178.2"/>
    <n v="4640.9000000000005"/>
  </r>
  <r>
    <s v="Rural+Urban"/>
    <n v="2023"/>
    <s v="May"/>
    <x v="11"/>
    <n v="2306.9"/>
    <n v="553.20000000000005"/>
    <n v="350.79999999999995"/>
    <n v="370.9"/>
    <n v="182.8"/>
    <n v="164.8"/>
    <n v="171.2"/>
    <n v="177.1"/>
    <n v="201"/>
    <n v="175.7"/>
    <n v="179.1"/>
    <n v="4654.400000000001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36">
  <r>
    <s v="Rural"/>
    <n v="2022"/>
    <s v="June"/>
    <s v="June-2022"/>
    <n v="153.80000000000001"/>
    <n v="217.2"/>
    <n v="169.6"/>
    <n v="165.4"/>
    <n v="208.1"/>
    <n v="165.8"/>
    <n v="167.3"/>
    <n v="164.6"/>
    <n v="119.1"/>
    <n v="188.9"/>
    <n v="174.2"/>
    <n v="181.9"/>
    <n v="172.4"/>
    <n v="2248.3000000000002"/>
  </r>
  <r>
    <s v="Urban"/>
    <n v="2022"/>
    <s v="June"/>
    <s v="June-2022"/>
    <n v="157.5"/>
    <n v="223.4"/>
    <n v="172.8"/>
    <n v="166.4"/>
    <n v="188.6"/>
    <n v="174.1"/>
    <n v="211.5"/>
    <n v="163.6"/>
    <n v="121.4"/>
    <n v="183.5"/>
    <n v="159.1"/>
    <n v="186.3"/>
    <n v="179.3"/>
    <n v="2287.5"/>
  </r>
  <r>
    <s v="Rural+Urban"/>
    <n v="2022"/>
    <s v="June"/>
    <s v="June-2022"/>
    <n v="155"/>
    <n v="219.4"/>
    <n v="170.8"/>
    <n v="165.8"/>
    <n v="200.9"/>
    <n v="169.7"/>
    <n v="182.3"/>
    <n v="164.3"/>
    <n v="119.9"/>
    <n v="187.1"/>
    <n v="167.9"/>
    <n v="183.9"/>
    <n v="174.9"/>
    <n v="2261.9"/>
  </r>
  <r>
    <s v="Rural"/>
    <n v="2022"/>
    <s v="July"/>
    <s v="July-2022"/>
    <n v="155.19999999999999"/>
    <n v="210.8"/>
    <n v="174.3"/>
    <n v="166.3"/>
    <n v="202.2"/>
    <n v="169.6"/>
    <n v="168.6"/>
    <n v="164.4"/>
    <n v="119.2"/>
    <n v="191.8"/>
    <n v="174.5"/>
    <n v="183.1"/>
    <n v="172.5"/>
    <n v="2252.5"/>
  </r>
  <r>
    <s v="Urban"/>
    <n v="2022"/>
    <s v="July"/>
    <s v="July-2022"/>
    <n v="159.30000000000001"/>
    <n v="217.1"/>
    <n v="176.6"/>
    <n v="167.1"/>
    <n v="184.8"/>
    <n v="179.5"/>
    <n v="208.5"/>
    <n v="164"/>
    <n v="121.5"/>
    <n v="186.3"/>
    <n v="159.80000000000001"/>
    <n v="187.7"/>
    <n v="179.4"/>
    <n v="2291.6"/>
  </r>
  <r>
    <s v="Rural+Urban"/>
    <n v="2022"/>
    <s v="July"/>
    <s v="July-2022"/>
    <n v="156.5"/>
    <n v="213"/>
    <n v="175.2"/>
    <n v="166.6"/>
    <n v="195.8"/>
    <n v="174.2"/>
    <n v="182.1"/>
    <n v="164.3"/>
    <n v="120"/>
    <n v="190"/>
    <n v="168.4"/>
    <n v="185.2"/>
    <n v="175"/>
    <n v="2266.3000000000002"/>
  </r>
  <r>
    <s v="Rural"/>
    <n v="2022"/>
    <s v="August"/>
    <s v="August-2022"/>
    <n v="159.5"/>
    <n v="204.1"/>
    <n v="168.3"/>
    <n v="167.9"/>
    <n v="198.1"/>
    <n v="169.2"/>
    <n v="173.1"/>
    <n v="167.1"/>
    <n v="120.2"/>
    <n v="195.6"/>
    <n v="174.8"/>
    <n v="184"/>
    <n v="173.9"/>
    <n v="2255.7999999999997"/>
  </r>
  <r>
    <s v="Urban"/>
    <n v="2022"/>
    <s v="August"/>
    <s v="August-2022"/>
    <n v="162.1"/>
    <n v="210.9"/>
    <n v="170.6"/>
    <n v="168.4"/>
    <n v="182.5"/>
    <n v="177.1"/>
    <n v="213.1"/>
    <n v="167.3"/>
    <n v="122.2"/>
    <n v="189.7"/>
    <n v="160.5"/>
    <n v="188.9"/>
    <n v="180.4"/>
    <n v="2293.6999999999998"/>
  </r>
  <r>
    <s v="Rural+Urban"/>
    <n v="2022"/>
    <s v="August"/>
    <s v="August-2022"/>
    <n v="160.30000000000001"/>
    <n v="206.5"/>
    <n v="169.2"/>
    <n v="168.1"/>
    <n v="192.4"/>
    <n v="172.9"/>
    <n v="186.7"/>
    <n v="167.2"/>
    <n v="120.9"/>
    <n v="193.6"/>
    <n v="168.8"/>
    <n v="186.3"/>
    <n v="176.3"/>
    <n v="2269.2000000000003"/>
  </r>
  <r>
    <s v="Rural"/>
    <n v="2022"/>
    <s v="September"/>
    <s v="September-2022"/>
    <n v="162.9"/>
    <n v="206.7"/>
    <n v="169"/>
    <n v="169.5"/>
    <n v="194.1"/>
    <n v="164.1"/>
    <n v="176.9"/>
    <n v="169"/>
    <n v="120.8"/>
    <n v="199.1"/>
    <n v="175.4"/>
    <n v="184.8"/>
    <n v="175.5"/>
    <n v="2267.8000000000002"/>
  </r>
  <r>
    <s v="Urban"/>
    <n v="2022"/>
    <s v="September"/>
    <s v="September-2022"/>
    <n v="164.9"/>
    <n v="213.7"/>
    <n v="170.9"/>
    <n v="170.1"/>
    <n v="179.3"/>
    <n v="167.5"/>
    <n v="220.8"/>
    <n v="169.2"/>
    <n v="123.1"/>
    <n v="193.6"/>
    <n v="161.1"/>
    <n v="190.4"/>
    <n v="181.8"/>
    <n v="2306.4"/>
  </r>
  <r>
    <s v="Rural+Urban"/>
    <n v="2022"/>
    <s v="September"/>
    <s v="September-2022"/>
    <n v="163.5"/>
    <n v="209.2"/>
    <n v="169.7"/>
    <n v="169.7"/>
    <n v="188.7"/>
    <n v="165.7"/>
    <n v="191.8"/>
    <n v="169.1"/>
    <n v="121.6"/>
    <n v="197.3"/>
    <n v="169.4"/>
    <n v="187.4"/>
    <n v="177.8"/>
    <n v="2280.9"/>
  </r>
  <r>
    <s v="Rural"/>
    <n v="2022"/>
    <s v="October"/>
    <s v="October-2022"/>
    <n v="164.7"/>
    <n v="208.8"/>
    <n v="170.3"/>
    <n v="170.9"/>
    <n v="191.6"/>
    <n v="162.19999999999999"/>
    <n v="184.8"/>
    <n v="169.7"/>
    <n v="121.1"/>
    <n v="201.6"/>
    <n v="175.8"/>
    <n v="185.6"/>
    <n v="177.4"/>
    <n v="2284.5"/>
  </r>
  <r>
    <s v="Urban"/>
    <n v="2022"/>
    <s v="October"/>
    <s v="October-2022"/>
    <n v="166.4"/>
    <n v="214.9"/>
    <n v="171.9"/>
    <n v="171"/>
    <n v="177.7"/>
    <n v="165.7"/>
    <n v="228.6"/>
    <n v="169.9"/>
    <n v="123.4"/>
    <n v="196.4"/>
    <n v="161.6"/>
    <n v="191.5"/>
    <n v="183.3"/>
    <n v="2322.3000000000002"/>
  </r>
  <r>
    <s v="Rural+Urban"/>
    <n v="2022"/>
    <s v="October"/>
    <s v="October-2022"/>
    <n v="165.2"/>
    <n v="210.9"/>
    <n v="170.9"/>
    <n v="170.9"/>
    <n v="186.5"/>
    <n v="163.80000000000001"/>
    <n v="199.7"/>
    <n v="169.8"/>
    <n v="121.9"/>
    <n v="199.9"/>
    <n v="169.9"/>
    <n v="188.3"/>
    <n v="179.6"/>
    <n v="2297.3000000000002"/>
  </r>
  <r>
    <s v="Rural"/>
    <n v="2022"/>
    <s v="November"/>
    <s v="November-2022"/>
    <n v="166.9"/>
    <n v="207.2"/>
    <n v="180.2"/>
    <n v="172.3"/>
    <n v="194"/>
    <n v="159.1"/>
    <n v="171.6"/>
    <n v="170.2"/>
    <n v="121.5"/>
    <n v="204.8"/>
    <n v="176.4"/>
    <n v="186.9"/>
    <n v="176.6"/>
    <n v="2287.6999999999998"/>
  </r>
  <r>
    <s v="Urban"/>
    <n v="2022"/>
    <s v="November"/>
    <s v="November-2022"/>
    <n v="168.4"/>
    <n v="213.4"/>
    <n v="183.2"/>
    <n v="172.3"/>
    <n v="180"/>
    <n v="162.6"/>
    <n v="205.5"/>
    <n v="171"/>
    <n v="123.4"/>
    <n v="198.8"/>
    <n v="162.1"/>
    <n v="192.4"/>
    <n v="181.3"/>
    <n v="2314.4"/>
  </r>
  <r>
    <s v="Rural+Urban"/>
    <n v="2022"/>
    <s v="November"/>
    <s v="November-2022"/>
    <n v="167.4"/>
    <n v="209.4"/>
    <n v="181.4"/>
    <n v="172.3"/>
    <n v="188.9"/>
    <n v="160.69999999999999"/>
    <n v="183.1"/>
    <n v="170.5"/>
    <n v="122.1"/>
    <n v="202.8"/>
    <n v="170.4"/>
    <n v="189.5"/>
    <n v="178.3"/>
    <n v="2296.8000000000002"/>
  </r>
  <r>
    <s v="Rural"/>
    <n v="2022"/>
    <s v="December"/>
    <s v="December-2022"/>
    <n v="168.8"/>
    <n v="206.9"/>
    <n v="189.1"/>
    <n v="173.4"/>
    <n v="193.9"/>
    <n v="156.69999999999999"/>
    <n v="150.19999999999999"/>
    <n v="170.5"/>
    <n v="121.2"/>
    <n v="207.5"/>
    <n v="176.8"/>
    <n v="187.7"/>
    <n v="174.4"/>
    <n v="2277.1"/>
  </r>
  <r>
    <s v="Urban"/>
    <n v="2022"/>
    <s v="December"/>
    <s v="December-2022"/>
    <n v="170.2"/>
    <n v="212.9"/>
    <n v="191.9"/>
    <n v="173.9"/>
    <n v="179.1"/>
    <n v="159.5"/>
    <n v="178.7"/>
    <n v="171.3"/>
    <n v="123.1"/>
    <n v="200.5"/>
    <n v="162.80000000000001"/>
    <n v="193.3"/>
    <n v="178.6"/>
    <n v="2295.7999999999997"/>
  </r>
  <r>
    <s v="Rural+Urban"/>
    <n v="2022"/>
    <s v="December"/>
    <s v="December-2022"/>
    <n v="169.2"/>
    <n v="209"/>
    <n v="190.2"/>
    <n v="173.6"/>
    <n v="188.5"/>
    <n v="158"/>
    <n v="159.9"/>
    <n v="170.8"/>
    <n v="121.8"/>
    <n v="205.2"/>
    <n v="171"/>
    <n v="190.3"/>
    <n v="175.9"/>
    <n v="2283.4"/>
  </r>
  <r>
    <s v="Rural"/>
    <n v="2023"/>
    <s v="January"/>
    <s v="January-2023"/>
    <n v="174"/>
    <n v="208.3"/>
    <n v="192.9"/>
    <n v="174.3"/>
    <n v="192.6"/>
    <n v="156.30000000000001"/>
    <n v="142.9"/>
    <n v="170.7"/>
    <n v="120.3"/>
    <n v="210.5"/>
    <n v="176.9"/>
    <n v="188.5"/>
    <n v="175"/>
    <n v="2283.2000000000003"/>
  </r>
  <r>
    <s v="Urban"/>
    <n v="2023"/>
    <s v="January"/>
    <s v="January-2023"/>
    <n v="173.3"/>
    <n v="215.2"/>
    <n v="197"/>
    <n v="175.2"/>
    <n v="178"/>
    <n v="160.5"/>
    <n v="175.3"/>
    <n v="171.2"/>
    <n v="122.7"/>
    <n v="204.3"/>
    <n v="163.69999999999999"/>
    <n v="194.3"/>
    <n v="179.5"/>
    <n v="2310.2000000000003"/>
  </r>
  <r>
    <s v="Rural+Urban"/>
    <n v="2023"/>
    <s v="January"/>
    <s v="January-2023"/>
    <n v="173.8"/>
    <n v="210.7"/>
    <n v="194.5"/>
    <n v="174.6"/>
    <n v="187.2"/>
    <n v="158.30000000000001"/>
    <n v="153.9"/>
    <n v="170.9"/>
    <n v="121.1"/>
    <n v="208.4"/>
    <n v="171.4"/>
    <n v="191.2"/>
    <n v="176.7"/>
    <n v="2292.6999999999998"/>
  </r>
  <r>
    <s v="Rural"/>
    <n v="2023"/>
    <s v="February"/>
    <s v="February-2023"/>
    <n v="174.2"/>
    <n v="205.2"/>
    <n v="173.9"/>
    <n v="177"/>
    <n v="183.4"/>
    <n v="167.2"/>
    <n v="140.9"/>
    <n v="170.4"/>
    <n v="119.1"/>
    <n v="212.1"/>
    <n v="177.6"/>
    <n v="189.9"/>
    <n v="174.8"/>
    <n v="2265.6999999999998"/>
  </r>
  <r>
    <s v="Urban"/>
    <n v="2023"/>
    <s v="February"/>
    <s v="February-2023"/>
    <n v="174.7"/>
    <n v="212.2"/>
    <n v="177.2"/>
    <n v="177.9"/>
    <n v="172.2"/>
    <n v="172.1"/>
    <n v="175.8"/>
    <n v="172.2"/>
    <n v="121.9"/>
    <n v="204.8"/>
    <n v="164.9"/>
    <n v="196.6"/>
    <n v="180.7"/>
    <n v="2303.1999999999998"/>
  </r>
  <r>
    <s v="Rural+Urban"/>
    <n v="2023"/>
    <s v="February"/>
    <s v="February-2023"/>
    <n v="174.4"/>
    <n v="207.7"/>
    <n v="175.2"/>
    <n v="177.3"/>
    <n v="179.3"/>
    <n v="169.5"/>
    <n v="152.69999999999999"/>
    <n v="171"/>
    <n v="120"/>
    <n v="209.7"/>
    <n v="172.3"/>
    <n v="193"/>
    <n v="177"/>
    <n v="2279.1"/>
  </r>
  <r>
    <s v="Rural"/>
    <n v="2023"/>
    <s v="March"/>
    <s v="March-2023"/>
    <n v="174.3"/>
    <n v="205.2"/>
    <n v="173.9"/>
    <n v="177"/>
    <n v="183.3"/>
    <n v="167.2"/>
    <n v="140.9"/>
    <n v="170.5"/>
    <n v="119.1"/>
    <n v="212.1"/>
    <n v="177.6"/>
    <n v="189.9"/>
    <n v="174.8"/>
    <n v="2265.8000000000002"/>
  </r>
  <r>
    <s v="Urban"/>
    <n v="2023"/>
    <s v="March"/>
    <s v="March-2023"/>
    <n v="174.7"/>
    <n v="212.2"/>
    <n v="177.2"/>
    <n v="177.9"/>
    <n v="172.2"/>
    <n v="172.1"/>
    <n v="175.9"/>
    <n v="172.2"/>
    <n v="121.9"/>
    <n v="204.8"/>
    <n v="164.9"/>
    <n v="196.6"/>
    <n v="180.8"/>
    <n v="2303.4"/>
  </r>
  <r>
    <s v="Rural+Urban"/>
    <n v="2023"/>
    <s v="March"/>
    <s v="March-2023"/>
    <n v="174.4"/>
    <n v="207.7"/>
    <n v="175.2"/>
    <n v="177.3"/>
    <n v="179.2"/>
    <n v="169.5"/>
    <n v="152.80000000000001"/>
    <n v="171.1"/>
    <n v="120"/>
    <n v="209.7"/>
    <n v="172.3"/>
    <n v="193"/>
    <n v="177"/>
    <n v="2279.1999999999998"/>
  </r>
  <r>
    <s v="Rural"/>
    <n v="2023"/>
    <s v="April"/>
    <s v="April-2023"/>
    <n v="173.3"/>
    <n v="206.9"/>
    <n v="167.9"/>
    <n v="178.2"/>
    <n v="178.5"/>
    <n v="173.7"/>
    <n v="142.80000000000001"/>
    <n v="172.8"/>
    <n v="120.4"/>
    <n v="215.5"/>
    <n v="178.2"/>
    <n v="190.5"/>
    <n v="175.5"/>
    <n v="2274.1999999999998"/>
  </r>
  <r>
    <s v="Urban"/>
    <n v="2023"/>
    <s v="April"/>
    <s v="April-2023"/>
    <n v="174.8"/>
    <n v="213.7"/>
    <n v="172.4"/>
    <n v="178.8"/>
    <n v="168.7"/>
    <n v="179.2"/>
    <n v="179.9"/>
    <n v="174.7"/>
    <n v="123.1"/>
    <n v="207.8"/>
    <n v="165.5"/>
    <n v="197"/>
    <n v="182.1"/>
    <n v="2317.7000000000003"/>
  </r>
  <r>
    <s v="Rural+Urban"/>
    <n v="2023"/>
    <s v="April"/>
    <s v="April-2023"/>
    <n v="173.8"/>
    <n v="209.3"/>
    <n v="169.6"/>
    <n v="178.4"/>
    <n v="174.9"/>
    <n v="176.3"/>
    <n v="155.4"/>
    <n v="173.4"/>
    <n v="121.3"/>
    <n v="212.9"/>
    <n v="172.9"/>
    <n v="193.5"/>
    <n v="177.9"/>
    <n v="2289.6000000000004"/>
  </r>
  <r>
    <s v="Rural"/>
    <n v="2023"/>
    <s v="May"/>
    <s v="May-2023"/>
    <n v="173.2"/>
    <n v="211.5"/>
    <n v="171"/>
    <n v="179.6"/>
    <n v="173.3"/>
    <n v="169"/>
    <n v="148.69999999999999"/>
    <n v="174.9"/>
    <n v="121.9"/>
    <n v="221"/>
    <n v="178.7"/>
    <n v="191.1"/>
    <n v="176.8"/>
    <n v="2290.7000000000007"/>
  </r>
  <r>
    <s v="Urban"/>
    <n v="2023"/>
    <s v="May"/>
    <s v="May-2023"/>
    <n v="174.7"/>
    <n v="219.4"/>
    <n v="176.7"/>
    <n v="179.4"/>
    <n v="164.4"/>
    <n v="175.8"/>
    <n v="185"/>
    <n v="176.9"/>
    <n v="124.2"/>
    <n v="211.9"/>
    <n v="165.9"/>
    <n v="197.7"/>
    <n v="183.1"/>
    <n v="2335.1"/>
  </r>
  <r>
    <s v="Rural+Urban"/>
    <n v="2023"/>
    <s v="May"/>
    <s v="May-2023"/>
    <n v="173.7"/>
    <n v="214.3"/>
    <n v="173.2"/>
    <n v="179.5"/>
    <n v="170"/>
    <n v="172.2"/>
    <n v="161"/>
    <n v="175.6"/>
    <n v="122.7"/>
    <n v="218"/>
    <n v="173.4"/>
    <n v="194.2"/>
    <n v="179.1"/>
    <n v="2306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5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E3:F7" firstHeaderRow="1" firstDataRow="1" firstDataCol="1"/>
  <pivotFields count="17"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Overall Total" fld="16" baseField="0" baseItem="0"/>
  </dataFields>
  <formats count="4">
    <format dxfId="46">
      <pivotArea outline="0" collapsedLevelsAreSubtotals="1" fieldPosition="0"/>
    </format>
    <format dxfId="45">
      <pivotArea dataOnly="0" labelOnly="1" grandCol="1" outline="0" fieldPosition="0"/>
    </format>
    <format dxfId="44">
      <pivotArea outline="0" collapsedLevelsAreSubtotals="1" fieldPosition="0"/>
    </format>
    <format dxfId="4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4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A3:B15" firstHeaderRow="1" firstDataRow="1" firstDataCol="1" rowPageCount="1" colPageCount="1"/>
  <pivotFields count="17">
    <pivotField axis="axisPage" multipleItemSelectionAllowed="1" showAll="0">
      <items count="4">
        <item x="0"/>
        <item h="1" x="2"/>
        <item h="1" x="1"/>
        <item t="default"/>
      </items>
    </pivotField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0" hier="-1"/>
  </pageFields>
  <dataFields count="1">
    <dataField name="Sum of Overall Total" fld="16" baseField="0" baseItem="0"/>
  </dataFields>
  <formats count="4">
    <format dxfId="50">
      <pivotArea outline="0" collapsedLevelsAreSubtotals="1" fieldPosition="0"/>
    </format>
    <format dxfId="49">
      <pivotArea dataOnly="0" labelOnly="1" grandCol="1" outline="0" fieldPosition="0"/>
    </format>
    <format dxfId="48">
      <pivotArea outline="0" collapsedLevelsAreSubtotals="1" fieldPosition="0"/>
    </format>
    <format dxfId="4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5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6">
  <location ref="A4:B12" firstHeaderRow="1" firstDataRow="1" firstDataCol="1" rowPageCount="1" colPageCount="1"/>
  <pivotFields count="17">
    <pivotField axis="axisPage" showAll="0">
      <items count="4">
        <item x="0"/>
        <item x="2"/>
        <item x="1"/>
        <item t="default"/>
      </items>
    </pivotField>
    <pivotField axis="axisRow" showAll="0">
      <items count="12">
        <item h="1" x="0"/>
        <item h="1" x="1"/>
        <item h="1" x="2"/>
        <item h="1"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8"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0" item="1" hier="-1"/>
  </pageFields>
  <dataFields count="1">
    <dataField name="Sum of Overall Total" fld="16" baseField="0" baseItem="0"/>
  </dataFields>
  <formats count="5">
    <format dxfId="34">
      <pivotArea outline="0" collapsedLevelsAreSubtotals="1" fieldPosition="0"/>
    </format>
    <format dxfId="35">
      <pivotArea dataOnly="0" labelOnly="1" grandCol="1" outline="0" fieldPosition="0"/>
    </format>
    <format dxfId="36">
      <pivotArea outline="0" collapsedLevelsAreSubtotals="1" fieldPosition="0"/>
    </format>
    <format dxfId="37">
      <pivotArea dataOnly="0" labelOnly="1" grandCol="1" outline="0" fieldPosition="0"/>
    </format>
    <format dxfId="38">
      <pivotArea collapsedLevelsAreSubtotals="1" fieldPosition="0">
        <references count="1">
          <reference field="1" count="1">
            <x v="9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7">
              <x v="4"/>
              <x v="5"/>
              <x v="6"/>
              <x v="7"/>
              <x v="8"/>
              <x v="9"/>
              <x v="10"/>
            </reference>
          </references>
        </pivotArea>
      </pivotAreas>
    </conditionalFormat>
  </conditionalFormat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5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S1:AE2" firstHeaderRow="0" firstDataRow="1" firstDataCol="0"/>
  <pivotFields count="18">
    <pivotField showAll="0" defaultSubtota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Items count="1">
    <i/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Sum of Meat and fish" fld="5" baseField="0" baseItem="0"/>
    <dataField name="Sum of Spices" fld="13" baseField="0" baseItem="0"/>
    <dataField name="Sum of Prepared meals, snacks, sweets etc." fld="15" baseField="0" baseItem="0"/>
    <dataField name="Sum of Oils and fats" fld="8" baseField="0" baseItem="0"/>
    <dataField name="Sum of Food and beverages" fld="16" baseField="0" baseItem="0"/>
    <dataField name="Sum of Egg" fld="6" baseField="0" baseItem="0"/>
    <dataField name="Sum of Vegetables" fld="10" baseField="0" baseItem="0"/>
    <dataField name="Sum of Milk and products" fld="7" baseField="0" baseItem="0"/>
    <dataField name="Sum of Non-alcoholic beverages" fld="14" baseField="0" baseItem="0"/>
    <dataField name="Sum of Pulses and products" fld="11" baseField="0" baseItem="0"/>
    <dataField name="Sum of Fruits" fld="9" baseField="0" baseItem="0"/>
    <dataField name="Sum of Cereals and products" fld="4" baseField="0" baseItem="0"/>
    <dataField name="Sum of Sugar and Confectionery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4" cacheId="5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3">
  <location ref="Q1:R14" firstHeaderRow="1" firstDataRow="1" firstDataCol="1"/>
  <pivotFields count="16">
    <pivotField showAll="0"/>
    <pivotField showAll="0"/>
    <pivotField showAll="0"/>
    <pivotField axis="axisRow" showAll="0">
      <items count="13">
        <item x="10"/>
        <item x="2"/>
        <item x="6"/>
        <item x="8"/>
        <item x="7"/>
        <item x="1"/>
        <item x="0"/>
        <item x="9"/>
        <item x="11"/>
        <item x="5"/>
        <item x="4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Food" fld="4" baseField="0" baseItem="0"/>
  </dataFields>
  <formats count="15">
    <format dxfId="19">
      <pivotArea field="3" type="button" dataOnly="0" labelOnly="1" outline="0" axis="axisRow" fieldPosition="0"/>
    </format>
    <format dxfId="20">
      <pivotArea dataOnly="0" labelOnly="1" outline="0" axis="axisValues" fieldPosition="0"/>
    </format>
    <format dxfId="21">
      <pivotArea grandRow="1" outline="0" collapsedLevelsAreSubtotals="1" fieldPosition="0"/>
    </format>
    <format dxfId="22">
      <pivotArea dataOnly="0" labelOnly="1" grandRow="1" outline="0" fieldPosition="0"/>
    </format>
    <format dxfId="23">
      <pivotArea collapsedLevelsAreSubtotals="1" fieldPosition="0">
        <references count="1">
          <reference field="3" count="0"/>
        </references>
      </pivotArea>
    </format>
    <format dxfId="24">
      <pivotArea field="3" type="button" dataOnly="0" labelOnly="1" outline="0" axis="axisRow" fieldPosition="0"/>
    </format>
    <format dxfId="25">
      <pivotArea dataOnly="0" labelOnly="1" outline="0" axis="axisValues" fieldPosition="0"/>
    </format>
    <format dxfId="26">
      <pivotArea grandRow="1" outline="0" collapsedLevelsAreSubtotals="1" fieldPosition="0"/>
    </format>
    <format dxfId="27">
      <pivotArea dataOnly="0" labelOnly="1" grandRow="1" outline="0" fieldPosition="0"/>
    </format>
    <format dxfId="28">
      <pivotArea outline="0" collapsedLevelsAreSubtotals="1" fieldPosition="0"/>
    </format>
    <format dxfId="29">
      <pivotArea dataOnly="0" labelOnly="1" outline="0" axis="axisValues" fieldPosition="0"/>
    </format>
    <format dxfId="30">
      <pivotArea outline="0" collapsedLevelsAreSubtotals="1" fieldPosition="0"/>
    </format>
    <format dxfId="31">
      <pivotArea dataOnly="0" labelOnly="1" outline="0" axis="axisValues" fieldPosition="0"/>
    </format>
    <format dxfId="32">
      <pivotArea collapsedLevelsAreSubtotals="1" fieldPosition="0">
        <references count="1">
          <reference field="3" count="1">
            <x v="8"/>
          </reference>
        </references>
      </pivotArea>
    </format>
    <format dxfId="33">
      <pivotArea dataOnly="0" labelOnly="1" fieldPosition="0">
        <references count="1">
          <reference field="3" count="1">
            <x v="8"/>
          </reference>
        </references>
      </pivotArea>
    </format>
  </formats>
  <conditionalFormats count="1">
    <conditionalFormat priority="5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5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8">
  <location ref="D3:J7" firstHeaderRow="0" firstDataRow="1" firstDataCol="1"/>
  <pivotFields count="17">
    <pivotField showAll="0"/>
    <pivotField showAll="0"/>
    <pivotField showAll="0"/>
    <pivotField showAll="0" defaultSubtotal="0"/>
    <pivotField axis="axisRow" showAll="0" defaultSubtotal="0">
      <items count="4">
        <item x="2"/>
        <item h="1" x="0"/>
        <item x="3"/>
        <item x="1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Food" fld="5" baseField="0" baseItem="0"/>
    <dataField name="Sum of Clothing and footwear" fld="6" baseField="0" baseItem="0"/>
    <dataField name="Sum of Housing" fld="7" baseField="0" baseItem="0"/>
    <dataField name="Sum of Health" fld="8" baseField="0" baseItem="0"/>
    <dataField name="Sum of Fuel and light" fld="9" baseField="0" baseItem="0"/>
    <dataField name="Sum of Transport and communication" fld="10" baseField="4" baseItem="3"/>
  </dataFields>
  <formats count="4">
    <format dxfId="42">
      <pivotArea outline="0" collapsedLevelsAreSubtotals="1" fieldPosition="0"/>
    </format>
    <format dxfId="41">
      <pivotArea dataOnly="0" labelOnly="1" grandCol="1" outline="0" fieldPosition="0"/>
    </format>
    <format dxfId="40">
      <pivotArea outline="0" collapsedLevelsAreSubtotals="1" fieldPosition="0"/>
    </format>
    <format dxfId="3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5" name="CPIUpdated" displayName="CPIUpdated" ref="A1:Q370" totalsRowShown="0" headerRowDxfId="18" dataDxfId="17">
  <autoFilter ref="A1:Q370"/>
  <tableColumns count="17">
    <tableColumn id="1" name="Sector" dataDxfId="16"/>
    <tableColumn id="2" name="Year" dataDxfId="15"/>
    <tableColumn id="3" name="Month" dataDxfId="14"/>
    <tableColumn id="4" name="MMYY" dataDxfId="13">
      <calculatedColumnFormula>CONCATENATE(C2,"-",B2)</calculatedColumnFormula>
    </tableColumn>
    <tableColumn id="5" name="Covid Status" dataDxfId="12"/>
    <tableColumn id="8" name="Food" dataDxfId="11"/>
    <tableColumn id="9" name="Clothing and footwear" dataDxfId="10"/>
    <tableColumn id="10" name="Housing" dataDxfId="9"/>
    <tableColumn id="11" name="Health" dataDxfId="8"/>
    <tableColumn id="12" name="Fuel and light" dataDxfId="7"/>
    <tableColumn id="13" name="Transport and communication" dataDxfId="6"/>
    <tableColumn id="14" name="Recreation and amusement" dataDxfId="5"/>
    <tableColumn id="15" name="Education" dataDxfId="4"/>
    <tableColumn id="16" name="Pan, tobacco and intoxicants" dataDxfId="3"/>
    <tableColumn id="17" name="Miscellaneous" dataDxfId="2"/>
    <tableColumn id="18" name="General index" dataDxfId="1"/>
    <tableColumn id="19" name="Overall Total" dataDxfId="0">
      <calculatedColumnFormula>SUM(F2:O2)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4"/>
  <sheetViews>
    <sheetView workbookViewId="0">
      <pane xSplit="3" ySplit="2" topLeftCell="D3" activePane="bottomRight" state="frozen"/>
      <selection pane="topRight" activeCell="D1" sqref="D1"/>
      <selection pane="bottomLeft" activeCell="A2" sqref="A2"/>
      <selection pane="bottomRight" activeCell="F6" sqref="F6"/>
    </sheetView>
  </sheetViews>
  <sheetFormatPr defaultRowHeight="14.5" x14ac:dyDescent="0.35"/>
  <cols>
    <col min="1" max="3" width="8.7265625" style="21"/>
    <col min="4" max="4" width="12.90625" style="21" customWidth="1"/>
    <col min="5" max="20" width="8.7265625" style="21" customWidth="1"/>
    <col min="21" max="21" width="21.453125" style="21" customWidth="1"/>
    <col min="22" max="22" width="17.7265625" style="21" customWidth="1"/>
    <col min="23" max="23" width="8.7265625" style="21" customWidth="1"/>
    <col min="24" max="24" width="24.81640625" style="21" customWidth="1"/>
    <col min="25" max="25" width="20.26953125" style="21" customWidth="1"/>
    <col min="26" max="26" width="8.7265625" style="21"/>
    <col min="27" max="27" width="21.6328125" style="21" customWidth="1"/>
    <col min="28" max="28" width="17.1796875" style="21" customWidth="1"/>
    <col min="29" max="29" width="13" style="21" customWidth="1"/>
    <col min="30" max="30" width="17.36328125" style="21" customWidth="1"/>
    <col min="31" max="31" width="21.08984375" style="21" customWidth="1"/>
    <col min="32" max="32" width="18.08984375" style="21" customWidth="1"/>
    <col min="33" max="33" width="16.7265625" style="21" customWidth="1"/>
    <col min="34" max="16384" width="8.7265625" style="21"/>
  </cols>
  <sheetData>
    <row r="1" spans="1:35" x14ac:dyDescent="0.35">
      <c r="E1" s="2" t="s">
        <v>49</v>
      </c>
      <c r="S1" s="21" t="s">
        <v>55</v>
      </c>
    </row>
    <row r="2" spans="1:35" x14ac:dyDescent="0.35">
      <c r="A2" s="21" t="s">
        <v>0</v>
      </c>
      <c r="B2" s="21" t="s">
        <v>1</v>
      </c>
      <c r="C2" s="21" t="s">
        <v>2</v>
      </c>
      <c r="D2" s="27" t="s">
        <v>58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33" t="s">
        <v>50</v>
      </c>
      <c r="S2" s="22" t="s">
        <v>17</v>
      </c>
      <c r="T2" s="22" t="s">
        <v>18</v>
      </c>
      <c r="U2" s="22" t="s">
        <v>19</v>
      </c>
      <c r="V2" s="22" t="s">
        <v>55</v>
      </c>
      <c r="W2" s="24" t="s">
        <v>20</v>
      </c>
      <c r="X2" s="24" t="s">
        <v>22</v>
      </c>
      <c r="Y2" s="24" t="s">
        <v>56</v>
      </c>
      <c r="Z2" s="25" t="s">
        <v>23</v>
      </c>
      <c r="AA2" s="25" t="s">
        <v>27</v>
      </c>
      <c r="AB2" s="25" t="s">
        <v>57</v>
      </c>
      <c r="AC2" s="21" t="s">
        <v>21</v>
      </c>
      <c r="AD2" s="21" t="s">
        <v>24</v>
      </c>
      <c r="AE2" s="21" t="s">
        <v>25</v>
      </c>
      <c r="AF2" s="21" t="s">
        <v>26</v>
      </c>
      <c r="AG2" s="21" t="s">
        <v>16</v>
      </c>
      <c r="AH2" s="21" t="s">
        <v>28</v>
      </c>
      <c r="AI2" s="21" t="s">
        <v>29</v>
      </c>
    </row>
    <row r="3" spans="1:35" x14ac:dyDescent="0.35">
      <c r="A3" s="21" t="s">
        <v>30</v>
      </c>
      <c r="B3" s="21">
        <v>2013</v>
      </c>
      <c r="C3" s="21" t="s">
        <v>31</v>
      </c>
      <c r="D3" s="17" t="str">
        <f>CONCATENATE(C3,"-",B3)</f>
        <v>January-2013</v>
      </c>
      <c r="E3" s="21">
        <v>107.5</v>
      </c>
      <c r="F3" s="21">
        <v>106.3</v>
      </c>
      <c r="G3" s="21">
        <v>108.1</v>
      </c>
      <c r="H3" s="21">
        <v>104.9</v>
      </c>
      <c r="I3" s="21">
        <v>106.1</v>
      </c>
      <c r="J3" s="21">
        <v>103.9</v>
      </c>
      <c r="K3" s="21">
        <v>101.9</v>
      </c>
      <c r="L3" s="21">
        <v>106.1</v>
      </c>
      <c r="M3" s="21">
        <v>106.8</v>
      </c>
      <c r="N3" s="21">
        <v>103.1</v>
      </c>
      <c r="O3" s="21">
        <v>104.8</v>
      </c>
      <c r="P3" s="21">
        <v>106.7</v>
      </c>
      <c r="Q3" s="21">
        <v>105.5</v>
      </c>
      <c r="R3" s="35">
        <v>1371.6999999999998</v>
      </c>
      <c r="S3" s="21">
        <v>106.5</v>
      </c>
      <c r="T3" s="21">
        <v>105.8</v>
      </c>
      <c r="U3" s="21">
        <v>106.4</v>
      </c>
      <c r="V3" s="21">
        <v>318.70000000000005</v>
      </c>
      <c r="W3" s="21">
        <v>100.3</v>
      </c>
      <c r="X3" s="21">
        <v>104.8</v>
      </c>
      <c r="Y3" s="21">
        <v>205.1</v>
      </c>
      <c r="Z3" s="21">
        <v>104</v>
      </c>
      <c r="AA3" s="21">
        <v>104.7</v>
      </c>
      <c r="AB3" s="21">
        <f>SUM(Z3:AA3)</f>
        <v>208.7</v>
      </c>
      <c r="AC3" s="21">
        <v>105.5</v>
      </c>
      <c r="AD3" s="21">
        <v>103.3</v>
      </c>
      <c r="AE3" s="21">
        <v>103.4</v>
      </c>
      <c r="AF3" s="21">
        <v>103.8</v>
      </c>
      <c r="AG3" s="21">
        <v>105.1</v>
      </c>
      <c r="AH3" s="21">
        <v>104</v>
      </c>
      <c r="AI3" s="21">
        <v>105.1</v>
      </c>
    </row>
    <row r="4" spans="1:35" x14ac:dyDescent="0.35">
      <c r="A4" s="21" t="s">
        <v>33</v>
      </c>
      <c r="B4" s="21">
        <v>2013</v>
      </c>
      <c r="C4" s="21" t="s">
        <v>31</v>
      </c>
      <c r="D4" s="17" t="str">
        <f t="shared" ref="D4:D67" si="0">CONCATENATE(C4,"-",B4)</f>
        <v>January-2013</v>
      </c>
      <c r="E4" s="21">
        <v>110.5</v>
      </c>
      <c r="F4" s="21">
        <v>109.1</v>
      </c>
      <c r="G4" s="21">
        <v>113</v>
      </c>
      <c r="H4" s="21">
        <v>103.6</v>
      </c>
      <c r="I4" s="21">
        <v>103.4</v>
      </c>
      <c r="J4" s="21">
        <v>102.3</v>
      </c>
      <c r="K4" s="21">
        <v>102.9</v>
      </c>
      <c r="L4" s="21">
        <v>105.8</v>
      </c>
      <c r="M4" s="21">
        <v>105.1</v>
      </c>
      <c r="N4" s="21">
        <v>101.8</v>
      </c>
      <c r="O4" s="21">
        <v>105.1</v>
      </c>
      <c r="P4" s="21">
        <v>107.9</v>
      </c>
      <c r="Q4" s="21">
        <v>105.9</v>
      </c>
      <c r="R4" s="21">
        <v>1376.4</v>
      </c>
      <c r="S4" s="21">
        <v>105.9</v>
      </c>
      <c r="T4" s="21">
        <v>105</v>
      </c>
      <c r="U4" s="21">
        <v>105.8</v>
      </c>
      <c r="V4" s="21">
        <v>316.7</v>
      </c>
      <c r="W4" s="21">
        <v>100.3</v>
      </c>
      <c r="X4" s="21">
        <v>104.8</v>
      </c>
      <c r="Y4" s="21">
        <v>205.1</v>
      </c>
      <c r="Z4" s="21">
        <v>104.1</v>
      </c>
      <c r="AA4" s="21">
        <v>104.3</v>
      </c>
      <c r="AB4" s="21">
        <f t="shared" ref="AB4:AB67" si="1">SUM(Z4:AA4)</f>
        <v>208.39999999999998</v>
      </c>
      <c r="AC4" s="21">
        <v>105.4</v>
      </c>
      <c r="AD4" s="21">
        <v>103.2</v>
      </c>
      <c r="AE4" s="21">
        <v>102.9</v>
      </c>
      <c r="AF4" s="21">
        <v>103.5</v>
      </c>
      <c r="AG4" s="21">
        <v>105.2</v>
      </c>
      <c r="AH4" s="21">
        <v>103.7</v>
      </c>
      <c r="AI4" s="21">
        <v>104</v>
      </c>
    </row>
    <row r="5" spans="1:35" x14ac:dyDescent="0.35">
      <c r="A5" s="21" t="s">
        <v>34</v>
      </c>
      <c r="B5" s="21">
        <v>2013</v>
      </c>
      <c r="C5" s="21" t="s">
        <v>31</v>
      </c>
      <c r="D5" s="17" t="str">
        <f t="shared" si="0"/>
        <v>January-2013</v>
      </c>
      <c r="E5" s="21">
        <v>108.4</v>
      </c>
      <c r="F5" s="21">
        <v>107.3</v>
      </c>
      <c r="G5" s="21">
        <v>110</v>
      </c>
      <c r="H5" s="21">
        <v>104.4</v>
      </c>
      <c r="I5" s="21">
        <v>105.1</v>
      </c>
      <c r="J5" s="21">
        <v>103.2</v>
      </c>
      <c r="K5" s="21">
        <v>102.2</v>
      </c>
      <c r="L5" s="21">
        <v>106</v>
      </c>
      <c r="M5" s="21">
        <v>106.2</v>
      </c>
      <c r="N5" s="21">
        <v>102.7</v>
      </c>
      <c r="O5" s="21">
        <v>104.9</v>
      </c>
      <c r="P5" s="21">
        <v>107.3</v>
      </c>
      <c r="Q5" s="21">
        <v>105.6</v>
      </c>
      <c r="R5" s="21">
        <v>1373.3000000000002</v>
      </c>
      <c r="S5" s="21">
        <v>106.3</v>
      </c>
      <c r="T5" s="21">
        <v>105.5</v>
      </c>
      <c r="U5" s="21">
        <v>106.2</v>
      </c>
      <c r="V5" s="21">
        <v>318</v>
      </c>
      <c r="W5" s="21">
        <v>100.3</v>
      </c>
      <c r="X5" s="21">
        <v>104.8</v>
      </c>
      <c r="Y5" s="21">
        <v>205.1</v>
      </c>
      <c r="Z5" s="21">
        <v>104</v>
      </c>
      <c r="AA5" s="21">
        <v>104.5</v>
      </c>
      <c r="AB5" s="21">
        <f t="shared" si="1"/>
        <v>208.5</v>
      </c>
      <c r="AC5" s="21">
        <v>105.5</v>
      </c>
      <c r="AD5" s="21">
        <v>103.2</v>
      </c>
      <c r="AE5" s="21">
        <v>103.1</v>
      </c>
      <c r="AF5" s="21">
        <v>103.6</v>
      </c>
      <c r="AG5" s="21">
        <v>105.1</v>
      </c>
      <c r="AH5" s="21">
        <v>103.9</v>
      </c>
      <c r="AI5" s="21">
        <v>104.6</v>
      </c>
    </row>
    <row r="6" spans="1:35" x14ac:dyDescent="0.35">
      <c r="A6" s="21" t="s">
        <v>30</v>
      </c>
      <c r="B6" s="21">
        <v>2013</v>
      </c>
      <c r="C6" s="21" t="s">
        <v>35</v>
      </c>
      <c r="D6" s="17" t="str">
        <f t="shared" si="0"/>
        <v>February-2013</v>
      </c>
      <c r="E6" s="21">
        <v>109.2</v>
      </c>
      <c r="F6" s="21">
        <v>108.7</v>
      </c>
      <c r="G6" s="21">
        <v>110.2</v>
      </c>
      <c r="H6" s="21">
        <v>105.4</v>
      </c>
      <c r="I6" s="21">
        <v>106.7</v>
      </c>
      <c r="J6" s="21">
        <v>104</v>
      </c>
      <c r="K6" s="21">
        <v>102.4</v>
      </c>
      <c r="L6" s="21">
        <v>105.9</v>
      </c>
      <c r="M6" s="21">
        <v>105.7</v>
      </c>
      <c r="N6" s="21">
        <v>103.1</v>
      </c>
      <c r="O6" s="21">
        <v>105.1</v>
      </c>
      <c r="P6" s="21">
        <v>107.7</v>
      </c>
      <c r="Q6" s="21">
        <v>106.3</v>
      </c>
      <c r="R6" s="21">
        <v>1380.3999999999999</v>
      </c>
      <c r="S6" s="21">
        <v>107.1</v>
      </c>
      <c r="T6" s="21">
        <v>106.3</v>
      </c>
      <c r="U6" s="21">
        <v>107</v>
      </c>
      <c r="V6" s="21">
        <v>320.39999999999998</v>
      </c>
      <c r="W6" s="21">
        <v>100.4</v>
      </c>
      <c r="X6" s="21">
        <v>105.2</v>
      </c>
      <c r="Y6" s="21">
        <v>205.60000000000002</v>
      </c>
      <c r="Z6" s="21">
        <v>104.4</v>
      </c>
      <c r="AA6" s="21">
        <v>104.6</v>
      </c>
      <c r="AB6" s="21">
        <f t="shared" si="1"/>
        <v>209</v>
      </c>
      <c r="AC6" s="21">
        <v>106.2</v>
      </c>
      <c r="AD6" s="21">
        <v>103.9</v>
      </c>
      <c r="AE6" s="21">
        <v>104</v>
      </c>
      <c r="AF6" s="21">
        <v>104.1</v>
      </c>
      <c r="AG6" s="21">
        <v>105.6</v>
      </c>
      <c r="AH6" s="21">
        <v>104.4</v>
      </c>
      <c r="AI6" s="21">
        <v>105.8</v>
      </c>
    </row>
    <row r="7" spans="1:35" x14ac:dyDescent="0.35">
      <c r="A7" s="21" t="s">
        <v>33</v>
      </c>
      <c r="B7" s="21">
        <v>2013</v>
      </c>
      <c r="C7" s="21" t="s">
        <v>35</v>
      </c>
      <c r="D7" s="17" t="str">
        <f t="shared" si="0"/>
        <v>February-2013</v>
      </c>
      <c r="E7" s="21">
        <v>112.9</v>
      </c>
      <c r="F7" s="21">
        <v>112.9</v>
      </c>
      <c r="G7" s="21">
        <v>116.9</v>
      </c>
      <c r="H7" s="21">
        <v>104</v>
      </c>
      <c r="I7" s="21">
        <v>103.5</v>
      </c>
      <c r="J7" s="21">
        <v>103.1</v>
      </c>
      <c r="K7" s="21">
        <v>104.9</v>
      </c>
      <c r="L7" s="21">
        <v>104.1</v>
      </c>
      <c r="M7" s="21">
        <v>103.8</v>
      </c>
      <c r="N7" s="21">
        <v>102.3</v>
      </c>
      <c r="O7" s="21">
        <v>106</v>
      </c>
      <c r="P7" s="21">
        <v>109</v>
      </c>
      <c r="Q7" s="21">
        <v>107.2</v>
      </c>
      <c r="R7" s="21">
        <v>1390.6000000000001</v>
      </c>
      <c r="S7" s="21">
        <v>106.6</v>
      </c>
      <c r="T7" s="21">
        <v>105.5</v>
      </c>
      <c r="U7" s="21">
        <v>106.4</v>
      </c>
      <c r="V7" s="21">
        <v>318.5</v>
      </c>
      <c r="W7" s="21">
        <v>100.4</v>
      </c>
      <c r="X7" s="21">
        <v>105.2</v>
      </c>
      <c r="Y7" s="21">
        <v>205.60000000000002</v>
      </c>
      <c r="Z7" s="21">
        <v>104.7</v>
      </c>
      <c r="AA7" s="21">
        <v>104.3</v>
      </c>
      <c r="AB7" s="21">
        <f t="shared" si="1"/>
        <v>209</v>
      </c>
      <c r="AC7" s="21">
        <v>105.7</v>
      </c>
      <c r="AD7" s="21">
        <v>104.4</v>
      </c>
      <c r="AE7" s="21">
        <v>103.3</v>
      </c>
      <c r="AF7" s="21">
        <v>103.7</v>
      </c>
      <c r="AG7" s="21">
        <v>106</v>
      </c>
      <c r="AH7" s="21">
        <v>104.3</v>
      </c>
      <c r="AI7" s="21">
        <v>104.7</v>
      </c>
    </row>
    <row r="8" spans="1:35" x14ac:dyDescent="0.35">
      <c r="A8" s="21" t="s">
        <v>34</v>
      </c>
      <c r="B8" s="21">
        <v>2013</v>
      </c>
      <c r="C8" s="21" t="s">
        <v>35</v>
      </c>
      <c r="D8" s="17" t="str">
        <f t="shared" si="0"/>
        <v>February-2013</v>
      </c>
      <c r="E8" s="21">
        <v>110.4</v>
      </c>
      <c r="F8" s="21">
        <v>110.2</v>
      </c>
      <c r="G8" s="21">
        <v>112.8</v>
      </c>
      <c r="H8" s="21">
        <v>104.9</v>
      </c>
      <c r="I8" s="21">
        <v>105.5</v>
      </c>
      <c r="J8" s="21">
        <v>103.6</v>
      </c>
      <c r="K8" s="21">
        <v>103.2</v>
      </c>
      <c r="L8" s="21">
        <v>105.3</v>
      </c>
      <c r="M8" s="21">
        <v>105.1</v>
      </c>
      <c r="N8" s="21">
        <v>102.8</v>
      </c>
      <c r="O8" s="21">
        <v>105.5</v>
      </c>
      <c r="P8" s="21">
        <v>108.3</v>
      </c>
      <c r="Q8" s="21">
        <v>106.6</v>
      </c>
      <c r="R8" s="21">
        <v>1384.2</v>
      </c>
      <c r="S8" s="21">
        <v>106.9</v>
      </c>
      <c r="T8" s="21">
        <v>106</v>
      </c>
      <c r="U8" s="21">
        <v>106.8</v>
      </c>
      <c r="V8" s="21">
        <v>319.7</v>
      </c>
      <c r="W8" s="21">
        <v>100.4</v>
      </c>
      <c r="X8" s="21">
        <v>105.2</v>
      </c>
      <c r="Y8" s="21">
        <v>205.60000000000002</v>
      </c>
      <c r="Z8" s="21">
        <v>104.5</v>
      </c>
      <c r="AA8" s="21">
        <v>104.5</v>
      </c>
      <c r="AB8" s="21">
        <f t="shared" si="1"/>
        <v>209</v>
      </c>
      <c r="AC8" s="21">
        <v>106</v>
      </c>
      <c r="AD8" s="21">
        <v>104.2</v>
      </c>
      <c r="AE8" s="21">
        <v>103.6</v>
      </c>
      <c r="AF8" s="21">
        <v>103.9</v>
      </c>
      <c r="AG8" s="21">
        <v>105.7</v>
      </c>
      <c r="AH8" s="21">
        <v>104.4</v>
      </c>
      <c r="AI8" s="21">
        <v>105.3</v>
      </c>
    </row>
    <row r="9" spans="1:35" x14ac:dyDescent="0.35">
      <c r="A9" s="21" t="s">
        <v>30</v>
      </c>
      <c r="B9" s="21">
        <v>2013</v>
      </c>
      <c r="C9" s="21" t="s">
        <v>36</v>
      </c>
      <c r="D9" s="17" t="str">
        <f t="shared" si="0"/>
        <v>March-2013</v>
      </c>
      <c r="E9" s="21">
        <v>110.2</v>
      </c>
      <c r="F9" s="21">
        <v>108.8</v>
      </c>
      <c r="G9" s="21">
        <v>109.9</v>
      </c>
      <c r="H9" s="21">
        <v>105.6</v>
      </c>
      <c r="I9" s="21">
        <v>106.2</v>
      </c>
      <c r="J9" s="21">
        <v>105.7</v>
      </c>
      <c r="K9" s="21">
        <v>101.4</v>
      </c>
      <c r="L9" s="21">
        <v>105.7</v>
      </c>
      <c r="M9" s="21">
        <v>105</v>
      </c>
      <c r="N9" s="21">
        <v>103.3</v>
      </c>
      <c r="O9" s="21">
        <v>105.6</v>
      </c>
      <c r="P9" s="21">
        <v>108.2</v>
      </c>
      <c r="Q9" s="21">
        <v>106.6</v>
      </c>
      <c r="R9" s="21">
        <v>1382.2</v>
      </c>
      <c r="S9" s="21">
        <v>107.6</v>
      </c>
      <c r="T9" s="21">
        <v>106.8</v>
      </c>
      <c r="U9" s="21">
        <v>107.5</v>
      </c>
      <c r="V9" s="21">
        <v>321.89999999999998</v>
      </c>
      <c r="W9" s="21">
        <v>100.4</v>
      </c>
      <c r="X9" s="21">
        <v>105.6</v>
      </c>
      <c r="Y9" s="21">
        <v>206</v>
      </c>
      <c r="Z9" s="21">
        <v>104.7</v>
      </c>
      <c r="AA9" s="21">
        <v>104.3</v>
      </c>
      <c r="AB9" s="21">
        <f t="shared" si="1"/>
        <v>209</v>
      </c>
      <c r="AC9" s="21">
        <v>106.1</v>
      </c>
      <c r="AD9" s="21">
        <v>104.6</v>
      </c>
      <c r="AE9" s="21">
        <v>104</v>
      </c>
      <c r="AF9" s="21">
        <v>104.3</v>
      </c>
      <c r="AG9" s="21">
        <v>106.5</v>
      </c>
      <c r="AH9" s="21">
        <v>104.6</v>
      </c>
      <c r="AI9" s="21">
        <v>106</v>
      </c>
    </row>
    <row r="10" spans="1:35" x14ac:dyDescent="0.35">
      <c r="A10" s="21" t="s">
        <v>33</v>
      </c>
      <c r="B10" s="21">
        <v>2013</v>
      </c>
      <c r="C10" s="21" t="s">
        <v>36</v>
      </c>
      <c r="D10" s="17" t="str">
        <f t="shared" si="0"/>
        <v>March-2013</v>
      </c>
      <c r="E10" s="21">
        <v>113.9</v>
      </c>
      <c r="F10" s="21">
        <v>111.4</v>
      </c>
      <c r="G10" s="21">
        <v>113.2</v>
      </c>
      <c r="H10" s="21">
        <v>104.3</v>
      </c>
      <c r="I10" s="21">
        <v>102.7</v>
      </c>
      <c r="J10" s="21">
        <v>104.9</v>
      </c>
      <c r="K10" s="21">
        <v>103.8</v>
      </c>
      <c r="L10" s="21">
        <v>103.5</v>
      </c>
      <c r="M10" s="21">
        <v>102.6</v>
      </c>
      <c r="N10" s="21">
        <v>102.4</v>
      </c>
      <c r="O10" s="21">
        <v>107</v>
      </c>
      <c r="P10" s="21">
        <v>109.8</v>
      </c>
      <c r="Q10" s="21">
        <v>107.3</v>
      </c>
      <c r="R10" s="21">
        <v>1386.8</v>
      </c>
      <c r="S10" s="21">
        <v>107.2</v>
      </c>
      <c r="T10" s="21">
        <v>106</v>
      </c>
      <c r="U10" s="21">
        <v>107</v>
      </c>
      <c r="V10" s="21">
        <v>320.2</v>
      </c>
      <c r="W10" s="21">
        <v>100.4</v>
      </c>
      <c r="X10" s="21">
        <v>105.7</v>
      </c>
      <c r="Y10" s="21">
        <v>206.10000000000002</v>
      </c>
      <c r="Z10" s="21">
        <v>105.2</v>
      </c>
      <c r="AA10" s="21">
        <v>104.2</v>
      </c>
      <c r="AB10" s="21">
        <f t="shared" si="1"/>
        <v>209.4</v>
      </c>
      <c r="AC10" s="21">
        <v>106</v>
      </c>
      <c r="AD10" s="21">
        <v>105.5</v>
      </c>
      <c r="AE10" s="21">
        <v>103.5</v>
      </c>
      <c r="AF10" s="21">
        <v>103.8</v>
      </c>
      <c r="AG10" s="21">
        <v>106.8</v>
      </c>
      <c r="AH10" s="21">
        <v>104.9</v>
      </c>
      <c r="AI10" s="21">
        <v>105</v>
      </c>
    </row>
    <row r="11" spans="1:35" x14ac:dyDescent="0.35">
      <c r="A11" s="21" t="s">
        <v>34</v>
      </c>
      <c r="B11" s="21">
        <v>2013</v>
      </c>
      <c r="C11" s="21" t="s">
        <v>36</v>
      </c>
      <c r="D11" s="17" t="str">
        <f t="shared" si="0"/>
        <v>March-2013</v>
      </c>
      <c r="E11" s="21">
        <v>111.4</v>
      </c>
      <c r="F11" s="21">
        <v>109.7</v>
      </c>
      <c r="G11" s="21">
        <v>111.2</v>
      </c>
      <c r="H11" s="21">
        <v>105.1</v>
      </c>
      <c r="I11" s="21">
        <v>104.9</v>
      </c>
      <c r="J11" s="21">
        <v>105.3</v>
      </c>
      <c r="K11" s="21">
        <v>102.2</v>
      </c>
      <c r="L11" s="21">
        <v>105</v>
      </c>
      <c r="M11" s="21">
        <v>104.2</v>
      </c>
      <c r="N11" s="21">
        <v>103</v>
      </c>
      <c r="O11" s="21">
        <v>106.2</v>
      </c>
      <c r="P11" s="21">
        <v>108.9</v>
      </c>
      <c r="Q11" s="21">
        <v>106.9</v>
      </c>
      <c r="R11" s="21">
        <v>1384.0000000000002</v>
      </c>
      <c r="S11" s="21">
        <v>107.4</v>
      </c>
      <c r="T11" s="21">
        <v>106.5</v>
      </c>
      <c r="U11" s="21">
        <v>107.3</v>
      </c>
      <c r="V11" s="21">
        <v>321.2</v>
      </c>
      <c r="W11" s="21">
        <v>100.4</v>
      </c>
      <c r="X11" s="21">
        <v>105.6</v>
      </c>
      <c r="Y11" s="21">
        <v>206</v>
      </c>
      <c r="Z11" s="21">
        <v>104.9</v>
      </c>
      <c r="AA11" s="21">
        <v>104.3</v>
      </c>
      <c r="AB11" s="21">
        <f t="shared" si="1"/>
        <v>209.2</v>
      </c>
      <c r="AC11" s="21">
        <v>106.1</v>
      </c>
      <c r="AD11" s="21">
        <v>105.1</v>
      </c>
      <c r="AE11" s="21">
        <v>103.7</v>
      </c>
      <c r="AF11" s="21">
        <v>104</v>
      </c>
      <c r="AG11" s="21">
        <v>106.6</v>
      </c>
      <c r="AH11" s="21">
        <v>104.7</v>
      </c>
      <c r="AI11" s="21">
        <v>105.5</v>
      </c>
    </row>
    <row r="12" spans="1:35" x14ac:dyDescent="0.35">
      <c r="A12" s="21" t="s">
        <v>30</v>
      </c>
      <c r="B12" s="21">
        <v>2013</v>
      </c>
      <c r="C12" s="21" t="s">
        <v>37</v>
      </c>
      <c r="D12" s="17" t="str">
        <f t="shared" si="0"/>
        <v>April-2013</v>
      </c>
      <c r="E12" s="21">
        <v>110.2</v>
      </c>
      <c r="F12" s="21">
        <v>109.5</v>
      </c>
      <c r="G12" s="21">
        <v>106.9</v>
      </c>
      <c r="H12" s="21">
        <v>106.3</v>
      </c>
      <c r="I12" s="21">
        <v>105.7</v>
      </c>
      <c r="J12" s="21">
        <v>108.3</v>
      </c>
      <c r="K12" s="21">
        <v>103.4</v>
      </c>
      <c r="L12" s="21">
        <v>105.7</v>
      </c>
      <c r="M12" s="21">
        <v>104.2</v>
      </c>
      <c r="N12" s="21">
        <v>103.2</v>
      </c>
      <c r="O12" s="21">
        <v>106.5</v>
      </c>
      <c r="P12" s="21">
        <v>108.8</v>
      </c>
      <c r="Q12" s="21">
        <v>107.1</v>
      </c>
      <c r="R12" s="21">
        <v>1385.8</v>
      </c>
      <c r="S12" s="21">
        <v>108.1</v>
      </c>
      <c r="T12" s="21">
        <v>107.4</v>
      </c>
      <c r="U12" s="21">
        <v>108</v>
      </c>
      <c r="V12" s="21">
        <v>323.5</v>
      </c>
      <c r="W12" s="21">
        <v>100.5</v>
      </c>
      <c r="X12" s="21">
        <v>106.1</v>
      </c>
      <c r="Y12" s="21">
        <v>206.6</v>
      </c>
      <c r="Z12" s="21">
        <v>105.1</v>
      </c>
      <c r="AA12" s="21">
        <v>102.7</v>
      </c>
      <c r="AB12" s="21">
        <f t="shared" si="1"/>
        <v>207.8</v>
      </c>
      <c r="AC12" s="21">
        <v>106.5</v>
      </c>
      <c r="AD12" s="21">
        <v>104.4</v>
      </c>
      <c r="AE12" s="21">
        <v>104.5</v>
      </c>
      <c r="AF12" s="21">
        <v>104.8</v>
      </c>
      <c r="AG12" s="21">
        <v>107.1</v>
      </c>
      <c r="AH12" s="21">
        <v>104.6</v>
      </c>
      <c r="AI12" s="21">
        <v>106.4</v>
      </c>
    </row>
    <row r="13" spans="1:35" x14ac:dyDescent="0.35">
      <c r="A13" s="21" t="s">
        <v>33</v>
      </c>
      <c r="B13" s="21">
        <v>2013</v>
      </c>
      <c r="C13" s="21" t="s">
        <v>37</v>
      </c>
      <c r="D13" s="17" t="str">
        <f t="shared" si="0"/>
        <v>April-2013</v>
      </c>
      <c r="E13" s="21">
        <v>114.6</v>
      </c>
      <c r="F13" s="21">
        <v>113.4</v>
      </c>
      <c r="G13" s="21">
        <v>106</v>
      </c>
      <c r="H13" s="21">
        <v>104.7</v>
      </c>
      <c r="I13" s="21">
        <v>102.1</v>
      </c>
      <c r="J13" s="21">
        <v>109.5</v>
      </c>
      <c r="K13" s="21">
        <v>109.7</v>
      </c>
      <c r="L13" s="21">
        <v>104.6</v>
      </c>
      <c r="M13" s="21">
        <v>102</v>
      </c>
      <c r="N13" s="21">
        <v>103.5</v>
      </c>
      <c r="O13" s="21">
        <v>108.2</v>
      </c>
      <c r="P13" s="21">
        <v>110.6</v>
      </c>
      <c r="Q13" s="21">
        <v>108.8</v>
      </c>
      <c r="R13" s="21">
        <v>1397.6999999999998</v>
      </c>
      <c r="S13" s="21">
        <v>107.9</v>
      </c>
      <c r="T13" s="21">
        <v>106.4</v>
      </c>
      <c r="U13" s="21">
        <v>107.7</v>
      </c>
      <c r="V13" s="21">
        <v>322</v>
      </c>
      <c r="W13" s="21">
        <v>100.5</v>
      </c>
      <c r="X13" s="21">
        <v>106.5</v>
      </c>
      <c r="Y13" s="21">
        <v>207</v>
      </c>
      <c r="Z13" s="21">
        <v>105.7</v>
      </c>
      <c r="AA13" s="21">
        <v>103.2</v>
      </c>
      <c r="AB13" s="21">
        <f t="shared" si="1"/>
        <v>208.9</v>
      </c>
      <c r="AC13" s="21">
        <v>106.4</v>
      </c>
      <c r="AD13" s="21">
        <v>105</v>
      </c>
      <c r="AE13" s="21">
        <v>104</v>
      </c>
      <c r="AF13" s="21">
        <v>105.2</v>
      </c>
      <c r="AG13" s="21">
        <v>108.5</v>
      </c>
      <c r="AH13" s="21">
        <v>105.1</v>
      </c>
      <c r="AI13" s="21">
        <v>105.7</v>
      </c>
    </row>
    <row r="14" spans="1:35" x14ac:dyDescent="0.35">
      <c r="A14" s="21" t="s">
        <v>34</v>
      </c>
      <c r="B14" s="21">
        <v>2013</v>
      </c>
      <c r="C14" s="21" t="s">
        <v>37</v>
      </c>
      <c r="D14" s="17" t="str">
        <f t="shared" si="0"/>
        <v>April-2013</v>
      </c>
      <c r="E14" s="21">
        <v>111.6</v>
      </c>
      <c r="F14" s="21">
        <v>110.9</v>
      </c>
      <c r="G14" s="21">
        <v>106.6</v>
      </c>
      <c r="H14" s="21">
        <v>105.7</v>
      </c>
      <c r="I14" s="21">
        <v>104.4</v>
      </c>
      <c r="J14" s="21">
        <v>108.9</v>
      </c>
      <c r="K14" s="21">
        <v>105.5</v>
      </c>
      <c r="L14" s="21">
        <v>105.3</v>
      </c>
      <c r="M14" s="21">
        <v>103.5</v>
      </c>
      <c r="N14" s="21">
        <v>103.3</v>
      </c>
      <c r="O14" s="21">
        <v>107.2</v>
      </c>
      <c r="P14" s="21">
        <v>109.6</v>
      </c>
      <c r="Q14" s="21">
        <v>107.7</v>
      </c>
      <c r="R14" s="21">
        <v>1390.2</v>
      </c>
      <c r="S14" s="21">
        <v>108</v>
      </c>
      <c r="T14" s="21">
        <v>107</v>
      </c>
      <c r="U14" s="21">
        <v>107.9</v>
      </c>
      <c r="V14" s="21">
        <v>322.89999999999998</v>
      </c>
      <c r="W14" s="21">
        <v>100.5</v>
      </c>
      <c r="X14" s="21">
        <v>106.3</v>
      </c>
      <c r="Y14" s="21">
        <v>206.8</v>
      </c>
      <c r="Z14" s="21">
        <v>105.3</v>
      </c>
      <c r="AA14" s="21">
        <v>102.9</v>
      </c>
      <c r="AB14" s="21">
        <f t="shared" si="1"/>
        <v>208.2</v>
      </c>
      <c r="AC14" s="21">
        <v>106.5</v>
      </c>
      <c r="AD14" s="21">
        <v>104.7</v>
      </c>
      <c r="AE14" s="21">
        <v>104.2</v>
      </c>
      <c r="AF14" s="21">
        <v>105</v>
      </c>
      <c r="AG14" s="21">
        <v>107.5</v>
      </c>
      <c r="AH14" s="21">
        <v>104.8</v>
      </c>
      <c r="AI14" s="21">
        <v>106.1</v>
      </c>
    </row>
    <row r="15" spans="1:35" x14ac:dyDescent="0.35">
      <c r="A15" s="21" t="s">
        <v>30</v>
      </c>
      <c r="B15" s="21">
        <v>2013</v>
      </c>
      <c r="C15" s="21" t="s">
        <v>38</v>
      </c>
      <c r="D15" s="17" t="str">
        <f t="shared" si="0"/>
        <v>May-2013</v>
      </c>
      <c r="E15" s="21">
        <v>110.9</v>
      </c>
      <c r="F15" s="21">
        <v>109.8</v>
      </c>
      <c r="G15" s="21">
        <v>105.9</v>
      </c>
      <c r="H15" s="21">
        <v>107.5</v>
      </c>
      <c r="I15" s="21">
        <v>105.3</v>
      </c>
      <c r="J15" s="21">
        <v>108.1</v>
      </c>
      <c r="K15" s="21">
        <v>107.3</v>
      </c>
      <c r="L15" s="21">
        <v>106.1</v>
      </c>
      <c r="M15" s="21">
        <v>103.7</v>
      </c>
      <c r="N15" s="21">
        <v>104</v>
      </c>
      <c r="O15" s="21">
        <v>107.4</v>
      </c>
      <c r="P15" s="21">
        <v>109.9</v>
      </c>
      <c r="Q15" s="21">
        <v>108.1</v>
      </c>
      <c r="R15" s="21">
        <v>1394</v>
      </c>
      <c r="S15" s="21">
        <v>108.8</v>
      </c>
      <c r="T15" s="21">
        <v>107.9</v>
      </c>
      <c r="U15" s="21">
        <v>108.6</v>
      </c>
      <c r="V15" s="21">
        <v>325.29999999999995</v>
      </c>
      <c r="W15" s="21">
        <v>100.5</v>
      </c>
      <c r="X15" s="21">
        <v>106.8</v>
      </c>
      <c r="Y15" s="21">
        <v>207.3</v>
      </c>
      <c r="Z15" s="21">
        <v>105.7</v>
      </c>
      <c r="AA15" s="21">
        <v>102.1</v>
      </c>
      <c r="AB15" s="21">
        <f t="shared" si="1"/>
        <v>207.8</v>
      </c>
      <c r="AC15" s="21">
        <v>107.5</v>
      </c>
      <c r="AD15" s="21">
        <v>104.1</v>
      </c>
      <c r="AE15" s="21">
        <v>105</v>
      </c>
      <c r="AF15" s="21">
        <v>105.5</v>
      </c>
      <c r="AG15" s="21">
        <v>108.1</v>
      </c>
      <c r="AH15" s="21">
        <v>104.8</v>
      </c>
      <c r="AI15" s="21">
        <v>107.2</v>
      </c>
    </row>
    <row r="16" spans="1:35" x14ac:dyDescent="0.35">
      <c r="A16" s="21" t="s">
        <v>33</v>
      </c>
      <c r="B16" s="21">
        <v>2013</v>
      </c>
      <c r="C16" s="21" t="s">
        <v>38</v>
      </c>
      <c r="D16" s="17" t="str">
        <f t="shared" si="0"/>
        <v>May-2013</v>
      </c>
      <c r="E16" s="21">
        <v>115.4</v>
      </c>
      <c r="F16" s="21">
        <v>114.2</v>
      </c>
      <c r="G16" s="21">
        <v>102.7</v>
      </c>
      <c r="H16" s="21">
        <v>105.5</v>
      </c>
      <c r="I16" s="21">
        <v>101.5</v>
      </c>
      <c r="J16" s="21">
        <v>110.6</v>
      </c>
      <c r="K16" s="21">
        <v>123.7</v>
      </c>
      <c r="L16" s="21">
        <v>105.2</v>
      </c>
      <c r="M16" s="21">
        <v>101.9</v>
      </c>
      <c r="N16" s="21">
        <v>105</v>
      </c>
      <c r="O16" s="21">
        <v>109.1</v>
      </c>
      <c r="P16" s="21">
        <v>111.3</v>
      </c>
      <c r="Q16" s="21">
        <v>111.1</v>
      </c>
      <c r="R16" s="21">
        <v>1417.1999999999998</v>
      </c>
      <c r="S16" s="21">
        <v>108.5</v>
      </c>
      <c r="T16" s="21">
        <v>106.7</v>
      </c>
      <c r="U16" s="21">
        <v>108.3</v>
      </c>
      <c r="V16" s="21">
        <v>323.5</v>
      </c>
      <c r="W16" s="21">
        <v>100.5</v>
      </c>
      <c r="X16" s="21">
        <v>107.1</v>
      </c>
      <c r="Y16" s="21">
        <v>207.6</v>
      </c>
      <c r="Z16" s="21">
        <v>106.2</v>
      </c>
      <c r="AA16" s="21">
        <v>102.6</v>
      </c>
      <c r="AB16" s="21">
        <f t="shared" si="1"/>
        <v>208.8</v>
      </c>
      <c r="AC16" s="21">
        <v>107.2</v>
      </c>
      <c r="AD16" s="21">
        <v>103.9</v>
      </c>
      <c r="AE16" s="21">
        <v>104.6</v>
      </c>
      <c r="AF16" s="21">
        <v>105.7</v>
      </c>
      <c r="AG16" s="21">
        <v>109.8</v>
      </c>
      <c r="AH16" s="21">
        <v>104.9</v>
      </c>
      <c r="AI16" s="21">
        <v>106.6</v>
      </c>
    </row>
    <row r="17" spans="1:35" x14ac:dyDescent="0.35">
      <c r="A17" s="21" t="s">
        <v>34</v>
      </c>
      <c r="B17" s="21">
        <v>2013</v>
      </c>
      <c r="C17" s="21" t="s">
        <v>38</v>
      </c>
      <c r="D17" s="17" t="str">
        <f t="shared" si="0"/>
        <v>May-2013</v>
      </c>
      <c r="E17" s="21">
        <v>112.3</v>
      </c>
      <c r="F17" s="21">
        <v>111.3</v>
      </c>
      <c r="G17" s="21">
        <v>104.7</v>
      </c>
      <c r="H17" s="21">
        <v>106.8</v>
      </c>
      <c r="I17" s="21">
        <v>103.9</v>
      </c>
      <c r="J17" s="21">
        <v>109.3</v>
      </c>
      <c r="K17" s="21">
        <v>112.9</v>
      </c>
      <c r="L17" s="21">
        <v>105.8</v>
      </c>
      <c r="M17" s="21">
        <v>103.1</v>
      </c>
      <c r="N17" s="21">
        <v>104.3</v>
      </c>
      <c r="O17" s="21">
        <v>108.1</v>
      </c>
      <c r="P17" s="21">
        <v>110.5</v>
      </c>
      <c r="Q17" s="21">
        <v>109.2</v>
      </c>
      <c r="R17" s="21">
        <v>1402.1999999999998</v>
      </c>
      <c r="S17" s="21">
        <v>108.7</v>
      </c>
      <c r="T17" s="21">
        <v>107.4</v>
      </c>
      <c r="U17" s="21">
        <v>108.5</v>
      </c>
      <c r="V17" s="21">
        <v>324.60000000000002</v>
      </c>
      <c r="W17" s="21">
        <v>100.5</v>
      </c>
      <c r="X17" s="21">
        <v>106.9</v>
      </c>
      <c r="Y17" s="21">
        <v>207.4</v>
      </c>
      <c r="Z17" s="21">
        <v>105.9</v>
      </c>
      <c r="AA17" s="21">
        <v>102.3</v>
      </c>
      <c r="AB17" s="21">
        <f t="shared" si="1"/>
        <v>208.2</v>
      </c>
      <c r="AC17" s="21">
        <v>107.4</v>
      </c>
      <c r="AD17" s="21">
        <v>104</v>
      </c>
      <c r="AE17" s="21">
        <v>104.8</v>
      </c>
      <c r="AF17" s="21">
        <v>105.6</v>
      </c>
      <c r="AG17" s="21">
        <v>108.6</v>
      </c>
      <c r="AH17" s="21">
        <v>104.8</v>
      </c>
      <c r="AI17" s="21">
        <v>106.9</v>
      </c>
    </row>
    <row r="18" spans="1:35" x14ac:dyDescent="0.35">
      <c r="A18" s="21" t="s">
        <v>30</v>
      </c>
      <c r="B18" s="21">
        <v>2013</v>
      </c>
      <c r="C18" s="21" t="s">
        <v>39</v>
      </c>
      <c r="D18" s="17" t="str">
        <f t="shared" si="0"/>
        <v>June-2013</v>
      </c>
      <c r="E18" s="21">
        <v>112.3</v>
      </c>
      <c r="F18" s="21">
        <v>112.1</v>
      </c>
      <c r="G18" s="21">
        <v>108.1</v>
      </c>
      <c r="H18" s="21">
        <v>108.3</v>
      </c>
      <c r="I18" s="21">
        <v>105.9</v>
      </c>
      <c r="J18" s="21">
        <v>109.2</v>
      </c>
      <c r="K18" s="21">
        <v>118</v>
      </c>
      <c r="L18" s="21">
        <v>106.8</v>
      </c>
      <c r="M18" s="21">
        <v>104.1</v>
      </c>
      <c r="N18" s="21">
        <v>105.4</v>
      </c>
      <c r="O18" s="21">
        <v>108.2</v>
      </c>
      <c r="P18" s="21">
        <v>111</v>
      </c>
      <c r="Q18" s="21">
        <v>110.6</v>
      </c>
      <c r="R18" s="21">
        <v>1420</v>
      </c>
      <c r="S18" s="21">
        <v>109.7</v>
      </c>
      <c r="T18" s="21">
        <v>108.8</v>
      </c>
      <c r="U18" s="21">
        <v>109.5</v>
      </c>
      <c r="V18" s="21">
        <v>328</v>
      </c>
      <c r="W18" s="21">
        <v>106.6</v>
      </c>
      <c r="X18" s="21">
        <v>107.5</v>
      </c>
      <c r="Y18" s="21">
        <v>214.1</v>
      </c>
      <c r="Z18" s="21">
        <v>106.3</v>
      </c>
      <c r="AA18" s="21">
        <v>102.5</v>
      </c>
      <c r="AB18" s="21">
        <f t="shared" si="1"/>
        <v>208.8</v>
      </c>
      <c r="AC18" s="21">
        <v>108.5</v>
      </c>
      <c r="AD18" s="21">
        <v>105</v>
      </c>
      <c r="AE18" s="21">
        <v>105.6</v>
      </c>
      <c r="AF18" s="21">
        <v>106.5</v>
      </c>
      <c r="AG18" s="21">
        <v>109</v>
      </c>
      <c r="AH18" s="21">
        <v>105.5</v>
      </c>
      <c r="AI18" s="21">
        <v>108.9</v>
      </c>
    </row>
    <row r="19" spans="1:35" x14ac:dyDescent="0.35">
      <c r="A19" s="21" t="s">
        <v>33</v>
      </c>
      <c r="B19" s="21">
        <v>2013</v>
      </c>
      <c r="C19" s="21" t="s">
        <v>39</v>
      </c>
      <c r="D19" s="17" t="str">
        <f t="shared" si="0"/>
        <v>June-2013</v>
      </c>
      <c r="E19" s="21">
        <v>117</v>
      </c>
      <c r="F19" s="21">
        <v>120.1</v>
      </c>
      <c r="G19" s="21">
        <v>112.5</v>
      </c>
      <c r="H19" s="21">
        <v>107.3</v>
      </c>
      <c r="I19" s="21">
        <v>101.3</v>
      </c>
      <c r="J19" s="21">
        <v>112.4</v>
      </c>
      <c r="K19" s="21">
        <v>143.6</v>
      </c>
      <c r="L19" s="21">
        <v>105.4</v>
      </c>
      <c r="M19" s="21">
        <v>101.4</v>
      </c>
      <c r="N19" s="21">
        <v>106.4</v>
      </c>
      <c r="O19" s="21">
        <v>110</v>
      </c>
      <c r="P19" s="21">
        <v>112.2</v>
      </c>
      <c r="Q19" s="21">
        <v>115</v>
      </c>
      <c r="R19" s="21">
        <v>1464.6000000000001</v>
      </c>
      <c r="S19" s="21">
        <v>109.2</v>
      </c>
      <c r="T19" s="21">
        <v>107.2</v>
      </c>
      <c r="U19" s="21">
        <v>108.9</v>
      </c>
      <c r="V19" s="21">
        <v>325.3</v>
      </c>
      <c r="W19" s="21">
        <v>106.6</v>
      </c>
      <c r="X19" s="21">
        <v>107.7</v>
      </c>
      <c r="Y19" s="21">
        <v>214.3</v>
      </c>
      <c r="Z19" s="21">
        <v>106.5</v>
      </c>
      <c r="AA19" s="21">
        <v>103.3</v>
      </c>
      <c r="AB19" s="21">
        <f t="shared" si="1"/>
        <v>209.8</v>
      </c>
      <c r="AC19" s="21">
        <v>108</v>
      </c>
      <c r="AD19" s="21">
        <v>105.2</v>
      </c>
      <c r="AE19" s="21">
        <v>105.2</v>
      </c>
      <c r="AF19" s="21">
        <v>108.1</v>
      </c>
      <c r="AG19" s="21">
        <v>110.9</v>
      </c>
      <c r="AH19" s="21">
        <v>106.1</v>
      </c>
      <c r="AI19" s="21">
        <v>109.7</v>
      </c>
    </row>
    <row r="20" spans="1:35" x14ac:dyDescent="0.35">
      <c r="A20" s="21" t="s">
        <v>34</v>
      </c>
      <c r="B20" s="21">
        <v>2013</v>
      </c>
      <c r="C20" s="21" t="s">
        <v>39</v>
      </c>
      <c r="D20" s="17" t="str">
        <f t="shared" si="0"/>
        <v>June-2013</v>
      </c>
      <c r="E20" s="21">
        <v>113.8</v>
      </c>
      <c r="F20" s="21">
        <v>114.9</v>
      </c>
      <c r="G20" s="21">
        <v>109.8</v>
      </c>
      <c r="H20" s="21">
        <v>107.9</v>
      </c>
      <c r="I20" s="21">
        <v>104.2</v>
      </c>
      <c r="J20" s="21">
        <v>110.7</v>
      </c>
      <c r="K20" s="21">
        <v>126.7</v>
      </c>
      <c r="L20" s="21">
        <v>106.3</v>
      </c>
      <c r="M20" s="21">
        <v>103.2</v>
      </c>
      <c r="N20" s="21">
        <v>105.7</v>
      </c>
      <c r="O20" s="21">
        <v>109</v>
      </c>
      <c r="P20" s="21">
        <v>111.6</v>
      </c>
      <c r="Q20" s="21">
        <v>112.2</v>
      </c>
      <c r="R20" s="21">
        <v>1436</v>
      </c>
      <c r="S20" s="21">
        <v>109.5</v>
      </c>
      <c r="T20" s="21">
        <v>108.1</v>
      </c>
      <c r="U20" s="21">
        <v>109.3</v>
      </c>
      <c r="V20" s="21">
        <v>326.89999999999998</v>
      </c>
      <c r="W20" s="21">
        <v>106.6</v>
      </c>
      <c r="X20" s="21">
        <v>107.6</v>
      </c>
      <c r="Y20" s="21">
        <v>214.2</v>
      </c>
      <c r="Z20" s="21">
        <v>106.4</v>
      </c>
      <c r="AA20" s="21">
        <v>102.8</v>
      </c>
      <c r="AB20" s="21">
        <f t="shared" si="1"/>
        <v>209.2</v>
      </c>
      <c r="AC20" s="21">
        <v>108.3</v>
      </c>
      <c r="AD20" s="21">
        <v>105.1</v>
      </c>
      <c r="AE20" s="21">
        <v>105.4</v>
      </c>
      <c r="AF20" s="21">
        <v>107.4</v>
      </c>
      <c r="AG20" s="21">
        <v>109.5</v>
      </c>
      <c r="AH20" s="21">
        <v>105.8</v>
      </c>
      <c r="AI20" s="21">
        <v>109.3</v>
      </c>
    </row>
    <row r="21" spans="1:35" x14ac:dyDescent="0.35">
      <c r="A21" s="21" t="s">
        <v>30</v>
      </c>
      <c r="B21" s="21">
        <v>2013</v>
      </c>
      <c r="C21" s="21" t="s">
        <v>40</v>
      </c>
      <c r="D21" s="17" t="str">
        <f t="shared" si="0"/>
        <v>July-2013</v>
      </c>
      <c r="E21" s="21">
        <v>113.4</v>
      </c>
      <c r="F21" s="21">
        <v>114.9</v>
      </c>
      <c r="G21" s="21">
        <v>110.5</v>
      </c>
      <c r="H21" s="21">
        <v>109.3</v>
      </c>
      <c r="I21" s="21">
        <v>106.2</v>
      </c>
      <c r="J21" s="21">
        <v>110.3</v>
      </c>
      <c r="K21" s="21">
        <v>129.19999999999999</v>
      </c>
      <c r="L21" s="21">
        <v>107.1</v>
      </c>
      <c r="M21" s="21">
        <v>104.3</v>
      </c>
      <c r="N21" s="21">
        <v>106.4</v>
      </c>
      <c r="O21" s="21">
        <v>109.1</v>
      </c>
      <c r="P21" s="21">
        <v>112.1</v>
      </c>
      <c r="Q21" s="21">
        <v>113.1</v>
      </c>
      <c r="R21" s="21">
        <v>1445.8999999999996</v>
      </c>
      <c r="S21" s="21">
        <v>110.5</v>
      </c>
      <c r="T21" s="21">
        <v>109.5</v>
      </c>
      <c r="U21" s="21">
        <v>110.3</v>
      </c>
      <c r="V21" s="21">
        <v>330.3</v>
      </c>
      <c r="W21" s="21">
        <v>107.7</v>
      </c>
      <c r="X21" s="21">
        <v>108.3</v>
      </c>
      <c r="Y21" s="21">
        <v>216</v>
      </c>
      <c r="Z21" s="21">
        <v>106.9</v>
      </c>
      <c r="AA21" s="21">
        <v>102.5</v>
      </c>
      <c r="AB21" s="21">
        <f t="shared" si="1"/>
        <v>209.4</v>
      </c>
      <c r="AC21" s="21">
        <v>109.5</v>
      </c>
      <c r="AD21" s="21">
        <v>106.8</v>
      </c>
      <c r="AE21" s="21">
        <v>106.4</v>
      </c>
      <c r="AF21" s="21">
        <v>107.8</v>
      </c>
      <c r="AG21" s="21">
        <v>109.8</v>
      </c>
      <c r="AH21" s="21">
        <v>106.5</v>
      </c>
      <c r="AI21" s="21">
        <v>110.7</v>
      </c>
    </row>
    <row r="22" spans="1:35" x14ac:dyDescent="0.35">
      <c r="A22" s="21" t="s">
        <v>33</v>
      </c>
      <c r="B22" s="21">
        <v>2013</v>
      </c>
      <c r="C22" s="21" t="s">
        <v>40</v>
      </c>
      <c r="D22" s="17" t="str">
        <f t="shared" si="0"/>
        <v>July-2013</v>
      </c>
      <c r="E22" s="21">
        <v>117.8</v>
      </c>
      <c r="F22" s="21">
        <v>119.2</v>
      </c>
      <c r="G22" s="21">
        <v>114</v>
      </c>
      <c r="H22" s="21">
        <v>108.3</v>
      </c>
      <c r="I22" s="21">
        <v>101.1</v>
      </c>
      <c r="J22" s="21">
        <v>113.2</v>
      </c>
      <c r="K22" s="21">
        <v>160.9</v>
      </c>
      <c r="L22" s="21">
        <v>105.1</v>
      </c>
      <c r="M22" s="21">
        <v>101.3</v>
      </c>
      <c r="N22" s="21">
        <v>107.5</v>
      </c>
      <c r="O22" s="21">
        <v>110.4</v>
      </c>
      <c r="P22" s="21">
        <v>113.1</v>
      </c>
      <c r="Q22" s="21">
        <v>117.5</v>
      </c>
      <c r="R22" s="21">
        <v>1489.4</v>
      </c>
      <c r="S22" s="21">
        <v>109.8</v>
      </c>
      <c r="T22" s="21">
        <v>107.8</v>
      </c>
      <c r="U22" s="21">
        <v>109.5</v>
      </c>
      <c r="V22" s="21">
        <v>327.10000000000002</v>
      </c>
      <c r="W22" s="21">
        <v>107.7</v>
      </c>
      <c r="X22" s="21">
        <v>108.1</v>
      </c>
      <c r="Y22" s="21">
        <v>215.8</v>
      </c>
      <c r="Z22" s="21">
        <v>107.1</v>
      </c>
      <c r="AA22" s="21">
        <v>103.2</v>
      </c>
      <c r="AB22" s="21">
        <f t="shared" si="1"/>
        <v>210.3</v>
      </c>
      <c r="AC22" s="21">
        <v>108.6</v>
      </c>
      <c r="AD22" s="21">
        <v>107.3</v>
      </c>
      <c r="AE22" s="21">
        <v>105.9</v>
      </c>
      <c r="AF22" s="21">
        <v>110.1</v>
      </c>
      <c r="AG22" s="21">
        <v>111.7</v>
      </c>
      <c r="AH22" s="21">
        <v>107.3</v>
      </c>
      <c r="AI22" s="21">
        <v>111.4</v>
      </c>
    </row>
    <row r="23" spans="1:35" x14ac:dyDescent="0.35">
      <c r="A23" s="21" t="s">
        <v>34</v>
      </c>
      <c r="B23" s="21">
        <v>2013</v>
      </c>
      <c r="C23" s="21" t="s">
        <v>40</v>
      </c>
      <c r="D23" s="17" t="str">
        <f t="shared" si="0"/>
        <v>July-2013</v>
      </c>
      <c r="E23" s="21">
        <v>114.8</v>
      </c>
      <c r="F23" s="21">
        <v>116.4</v>
      </c>
      <c r="G23" s="21">
        <v>111.9</v>
      </c>
      <c r="H23" s="21">
        <v>108.9</v>
      </c>
      <c r="I23" s="21">
        <v>104.3</v>
      </c>
      <c r="J23" s="21">
        <v>111.7</v>
      </c>
      <c r="K23" s="21">
        <v>140</v>
      </c>
      <c r="L23" s="21">
        <v>106.4</v>
      </c>
      <c r="M23" s="21">
        <v>103.3</v>
      </c>
      <c r="N23" s="21">
        <v>106.8</v>
      </c>
      <c r="O23" s="21">
        <v>109.6</v>
      </c>
      <c r="P23" s="21">
        <v>112.6</v>
      </c>
      <c r="Q23" s="21">
        <v>114.7</v>
      </c>
      <c r="R23" s="21">
        <v>1461.3999999999999</v>
      </c>
      <c r="S23" s="21">
        <v>110.2</v>
      </c>
      <c r="T23" s="21">
        <v>108.8</v>
      </c>
      <c r="U23" s="21">
        <v>110</v>
      </c>
      <c r="V23" s="21">
        <v>329</v>
      </c>
      <c r="W23" s="21">
        <v>107.7</v>
      </c>
      <c r="X23" s="21">
        <v>108.2</v>
      </c>
      <c r="Y23" s="21">
        <v>215.9</v>
      </c>
      <c r="Z23" s="21">
        <v>107</v>
      </c>
      <c r="AA23" s="21">
        <v>102.8</v>
      </c>
      <c r="AB23" s="21">
        <f t="shared" si="1"/>
        <v>209.8</v>
      </c>
      <c r="AC23" s="21">
        <v>109.2</v>
      </c>
      <c r="AD23" s="21">
        <v>107.1</v>
      </c>
      <c r="AE23" s="21">
        <v>106.1</v>
      </c>
      <c r="AF23" s="21">
        <v>109.1</v>
      </c>
      <c r="AG23" s="21">
        <v>110.3</v>
      </c>
      <c r="AH23" s="21">
        <v>106.9</v>
      </c>
      <c r="AI23" s="21">
        <v>111</v>
      </c>
    </row>
    <row r="24" spans="1:35" x14ac:dyDescent="0.35">
      <c r="A24" s="21" t="s">
        <v>30</v>
      </c>
      <c r="B24" s="21">
        <v>2013</v>
      </c>
      <c r="C24" s="21" t="s">
        <v>41</v>
      </c>
      <c r="D24" s="17" t="str">
        <f t="shared" si="0"/>
        <v>August-2013</v>
      </c>
      <c r="E24" s="21">
        <v>114.3</v>
      </c>
      <c r="F24" s="21">
        <v>115.4</v>
      </c>
      <c r="G24" s="21">
        <v>111.1</v>
      </c>
      <c r="H24" s="21">
        <v>110</v>
      </c>
      <c r="I24" s="21">
        <v>106.4</v>
      </c>
      <c r="J24" s="21">
        <v>110.8</v>
      </c>
      <c r="K24" s="21">
        <v>138.9</v>
      </c>
      <c r="L24" s="21">
        <v>107.4</v>
      </c>
      <c r="M24" s="21">
        <v>104.1</v>
      </c>
      <c r="N24" s="21">
        <v>106.9</v>
      </c>
      <c r="O24" s="21">
        <v>109.7</v>
      </c>
      <c r="P24" s="21">
        <v>112.6</v>
      </c>
      <c r="Q24" s="21">
        <v>114.9</v>
      </c>
      <c r="R24" s="21">
        <v>1462.5</v>
      </c>
      <c r="S24" s="21">
        <v>111.3</v>
      </c>
      <c r="T24" s="21">
        <v>110.2</v>
      </c>
      <c r="U24" s="21">
        <v>111.1</v>
      </c>
      <c r="V24" s="21">
        <v>332.6</v>
      </c>
      <c r="W24" s="21">
        <v>108.9</v>
      </c>
      <c r="X24" s="21">
        <v>108.7</v>
      </c>
      <c r="Y24" s="21">
        <v>217.60000000000002</v>
      </c>
      <c r="Z24" s="21">
        <v>107.5</v>
      </c>
      <c r="AA24" s="21">
        <v>105</v>
      </c>
      <c r="AB24" s="21">
        <f t="shared" si="1"/>
        <v>212.5</v>
      </c>
      <c r="AC24" s="21">
        <v>109.9</v>
      </c>
      <c r="AD24" s="21">
        <v>107.8</v>
      </c>
      <c r="AE24" s="21">
        <v>106.8</v>
      </c>
      <c r="AF24" s="21">
        <v>108.7</v>
      </c>
      <c r="AG24" s="21">
        <v>110.7</v>
      </c>
      <c r="AH24" s="21">
        <v>107.5</v>
      </c>
      <c r="AI24" s="21">
        <v>112.1</v>
      </c>
    </row>
    <row r="25" spans="1:35" x14ac:dyDescent="0.35">
      <c r="A25" s="21" t="s">
        <v>33</v>
      </c>
      <c r="B25" s="21">
        <v>2013</v>
      </c>
      <c r="C25" s="21" t="s">
        <v>41</v>
      </c>
      <c r="D25" s="17" t="str">
        <f t="shared" si="0"/>
        <v>August-2013</v>
      </c>
      <c r="E25" s="21">
        <v>118.3</v>
      </c>
      <c r="F25" s="21">
        <v>120.4</v>
      </c>
      <c r="G25" s="21">
        <v>112.7</v>
      </c>
      <c r="H25" s="21">
        <v>108.9</v>
      </c>
      <c r="I25" s="21">
        <v>101.1</v>
      </c>
      <c r="J25" s="21">
        <v>108.7</v>
      </c>
      <c r="K25" s="21">
        <v>177</v>
      </c>
      <c r="L25" s="21">
        <v>104.7</v>
      </c>
      <c r="M25" s="21">
        <v>101</v>
      </c>
      <c r="N25" s="21">
        <v>108.5</v>
      </c>
      <c r="O25" s="21">
        <v>110.9</v>
      </c>
      <c r="P25" s="21">
        <v>114.3</v>
      </c>
      <c r="Q25" s="21">
        <v>119.6</v>
      </c>
      <c r="R25" s="21">
        <v>1506.1000000000001</v>
      </c>
      <c r="S25" s="21">
        <v>110.6</v>
      </c>
      <c r="T25" s="21">
        <v>108.3</v>
      </c>
      <c r="U25" s="21">
        <v>110.2</v>
      </c>
      <c r="V25" s="21">
        <v>329.09999999999997</v>
      </c>
      <c r="W25" s="21">
        <v>108.9</v>
      </c>
      <c r="X25" s="21">
        <v>108.7</v>
      </c>
      <c r="Y25" s="21">
        <v>217.60000000000002</v>
      </c>
      <c r="Z25" s="21">
        <v>107.6</v>
      </c>
      <c r="AA25" s="21">
        <v>106</v>
      </c>
      <c r="AB25" s="21">
        <f t="shared" si="1"/>
        <v>213.6</v>
      </c>
      <c r="AC25" s="21">
        <v>109.3</v>
      </c>
      <c r="AD25" s="21">
        <v>108.1</v>
      </c>
      <c r="AE25" s="21">
        <v>106.5</v>
      </c>
      <c r="AF25" s="21">
        <v>110.8</v>
      </c>
      <c r="AG25" s="21">
        <v>112.4</v>
      </c>
      <c r="AH25" s="21">
        <v>108.3</v>
      </c>
      <c r="AI25" s="21">
        <v>112.7</v>
      </c>
    </row>
    <row r="26" spans="1:35" x14ac:dyDescent="0.35">
      <c r="A26" s="21" t="s">
        <v>34</v>
      </c>
      <c r="B26" s="21">
        <v>2013</v>
      </c>
      <c r="C26" s="21" t="s">
        <v>41</v>
      </c>
      <c r="D26" s="17" t="str">
        <f t="shared" si="0"/>
        <v>August-2013</v>
      </c>
      <c r="E26" s="21">
        <v>115.6</v>
      </c>
      <c r="F26" s="21">
        <v>117.2</v>
      </c>
      <c r="G26" s="21">
        <v>111.7</v>
      </c>
      <c r="H26" s="21">
        <v>109.6</v>
      </c>
      <c r="I26" s="21">
        <v>104.5</v>
      </c>
      <c r="J26" s="21">
        <v>109.8</v>
      </c>
      <c r="K26" s="21">
        <v>151.80000000000001</v>
      </c>
      <c r="L26" s="21">
        <v>106.5</v>
      </c>
      <c r="M26" s="21">
        <v>103.1</v>
      </c>
      <c r="N26" s="21">
        <v>107.4</v>
      </c>
      <c r="O26" s="21">
        <v>110.2</v>
      </c>
      <c r="P26" s="21">
        <v>113.4</v>
      </c>
      <c r="Q26" s="21">
        <v>116.6</v>
      </c>
      <c r="R26" s="21">
        <v>1477.4</v>
      </c>
      <c r="S26" s="21">
        <v>111</v>
      </c>
      <c r="T26" s="21">
        <v>109.4</v>
      </c>
      <c r="U26" s="21">
        <v>110.7</v>
      </c>
      <c r="V26" s="21">
        <v>331.1</v>
      </c>
      <c r="W26" s="21">
        <v>108.9</v>
      </c>
      <c r="X26" s="21">
        <v>108.7</v>
      </c>
      <c r="Y26" s="21">
        <v>217.60000000000002</v>
      </c>
      <c r="Z26" s="21">
        <v>107.5</v>
      </c>
      <c r="AA26" s="21">
        <v>105.4</v>
      </c>
      <c r="AB26" s="21">
        <f t="shared" si="1"/>
        <v>212.9</v>
      </c>
      <c r="AC26" s="21">
        <v>109.7</v>
      </c>
      <c r="AD26" s="21">
        <v>108</v>
      </c>
      <c r="AE26" s="21">
        <v>106.6</v>
      </c>
      <c r="AF26" s="21">
        <v>109.9</v>
      </c>
      <c r="AG26" s="21">
        <v>111.2</v>
      </c>
      <c r="AH26" s="21">
        <v>107.9</v>
      </c>
      <c r="AI26" s="21">
        <v>112.4</v>
      </c>
    </row>
    <row r="27" spans="1:35" x14ac:dyDescent="0.35">
      <c r="A27" s="21" t="s">
        <v>30</v>
      </c>
      <c r="B27" s="21">
        <v>2013</v>
      </c>
      <c r="C27" s="21" t="s">
        <v>42</v>
      </c>
      <c r="D27" s="17" t="str">
        <f t="shared" si="0"/>
        <v>September-2013</v>
      </c>
      <c r="E27" s="21">
        <v>115.4</v>
      </c>
      <c r="F27" s="21">
        <v>115.7</v>
      </c>
      <c r="G27" s="21">
        <v>111.7</v>
      </c>
      <c r="H27" s="21">
        <v>111</v>
      </c>
      <c r="I27" s="21">
        <v>107.4</v>
      </c>
      <c r="J27" s="21">
        <v>110.9</v>
      </c>
      <c r="K27" s="21">
        <v>154</v>
      </c>
      <c r="L27" s="21">
        <v>108.1</v>
      </c>
      <c r="M27" s="21">
        <v>104.2</v>
      </c>
      <c r="N27" s="21">
        <v>107.9</v>
      </c>
      <c r="O27" s="21">
        <v>110.4</v>
      </c>
      <c r="P27" s="21">
        <v>114</v>
      </c>
      <c r="Q27" s="21">
        <v>117.8</v>
      </c>
      <c r="R27" s="21">
        <v>1488.5000000000002</v>
      </c>
      <c r="S27" s="21">
        <v>112.7</v>
      </c>
      <c r="T27" s="21">
        <v>111.4</v>
      </c>
      <c r="U27" s="21">
        <v>112.5</v>
      </c>
      <c r="V27" s="21">
        <v>336.6</v>
      </c>
      <c r="W27" s="21">
        <v>109.7</v>
      </c>
      <c r="X27" s="21">
        <v>109.6</v>
      </c>
      <c r="Y27" s="21">
        <v>219.3</v>
      </c>
      <c r="Z27" s="21">
        <v>108.3</v>
      </c>
      <c r="AA27" s="21">
        <v>106.7</v>
      </c>
      <c r="AB27" s="21">
        <f t="shared" si="1"/>
        <v>215</v>
      </c>
      <c r="AC27" s="21">
        <v>111.1</v>
      </c>
      <c r="AD27" s="21">
        <v>109.3</v>
      </c>
      <c r="AE27" s="21">
        <v>107.7</v>
      </c>
      <c r="AF27" s="21">
        <v>109.8</v>
      </c>
      <c r="AG27" s="21">
        <v>111.7</v>
      </c>
      <c r="AH27" s="21">
        <v>108.7</v>
      </c>
      <c r="AI27" s="21">
        <v>114.2</v>
      </c>
    </row>
    <row r="28" spans="1:35" x14ac:dyDescent="0.35">
      <c r="A28" s="21" t="s">
        <v>33</v>
      </c>
      <c r="B28" s="21">
        <v>2013</v>
      </c>
      <c r="C28" s="21" t="s">
        <v>42</v>
      </c>
      <c r="D28" s="17" t="str">
        <f t="shared" si="0"/>
        <v>September-2013</v>
      </c>
      <c r="E28" s="21">
        <v>118.6</v>
      </c>
      <c r="F28" s="21">
        <v>119.1</v>
      </c>
      <c r="G28" s="21">
        <v>113.2</v>
      </c>
      <c r="H28" s="21">
        <v>109.6</v>
      </c>
      <c r="I28" s="21">
        <v>101.7</v>
      </c>
      <c r="J28" s="21">
        <v>103.2</v>
      </c>
      <c r="K28" s="21">
        <v>174.3</v>
      </c>
      <c r="L28" s="21">
        <v>105.1</v>
      </c>
      <c r="M28" s="21">
        <v>100.8</v>
      </c>
      <c r="N28" s="21">
        <v>109.1</v>
      </c>
      <c r="O28" s="21">
        <v>111.1</v>
      </c>
      <c r="P28" s="21">
        <v>115.4</v>
      </c>
      <c r="Q28" s="21">
        <v>119.2</v>
      </c>
      <c r="R28" s="21">
        <v>1500.4</v>
      </c>
      <c r="S28" s="21">
        <v>111.4</v>
      </c>
      <c r="T28" s="21">
        <v>109</v>
      </c>
      <c r="U28" s="21">
        <v>111.1</v>
      </c>
      <c r="V28" s="21">
        <v>331.5</v>
      </c>
      <c r="W28" s="21">
        <v>109.7</v>
      </c>
      <c r="X28" s="21">
        <v>109.6</v>
      </c>
      <c r="Y28" s="21">
        <v>219.3</v>
      </c>
      <c r="Z28" s="21">
        <v>107.9</v>
      </c>
      <c r="AA28" s="21">
        <v>106.9</v>
      </c>
      <c r="AB28" s="21">
        <f t="shared" si="1"/>
        <v>214.8</v>
      </c>
      <c r="AC28" s="21">
        <v>109.5</v>
      </c>
      <c r="AD28" s="21">
        <v>110.4</v>
      </c>
      <c r="AE28" s="21">
        <v>107.4</v>
      </c>
      <c r="AF28" s="21">
        <v>111.2</v>
      </c>
      <c r="AG28" s="21">
        <v>112.9</v>
      </c>
      <c r="AH28" s="21">
        <v>109.4</v>
      </c>
      <c r="AI28" s="21">
        <v>113.2</v>
      </c>
    </row>
    <row r="29" spans="1:35" x14ac:dyDescent="0.35">
      <c r="A29" s="21" t="s">
        <v>34</v>
      </c>
      <c r="B29" s="21">
        <v>2013</v>
      </c>
      <c r="C29" s="21" t="s">
        <v>42</v>
      </c>
      <c r="D29" s="17" t="str">
        <f t="shared" si="0"/>
        <v>September-2013</v>
      </c>
      <c r="E29" s="21">
        <v>116.4</v>
      </c>
      <c r="F29" s="21">
        <v>116.9</v>
      </c>
      <c r="G29" s="21">
        <v>112.3</v>
      </c>
      <c r="H29" s="21">
        <v>110.5</v>
      </c>
      <c r="I29" s="21">
        <v>105.3</v>
      </c>
      <c r="J29" s="21">
        <v>107.3</v>
      </c>
      <c r="K29" s="21">
        <v>160.9</v>
      </c>
      <c r="L29" s="21">
        <v>107.1</v>
      </c>
      <c r="M29" s="21">
        <v>103.1</v>
      </c>
      <c r="N29" s="21">
        <v>108.3</v>
      </c>
      <c r="O29" s="21">
        <v>110.7</v>
      </c>
      <c r="P29" s="21">
        <v>114.6</v>
      </c>
      <c r="Q29" s="21">
        <v>118.3</v>
      </c>
      <c r="R29" s="21">
        <v>1491.6999999999998</v>
      </c>
      <c r="S29" s="21">
        <v>112.2</v>
      </c>
      <c r="T29" s="21">
        <v>110.4</v>
      </c>
      <c r="U29" s="21">
        <v>111.9</v>
      </c>
      <c r="V29" s="21">
        <v>334.5</v>
      </c>
      <c r="W29" s="21">
        <v>109.7</v>
      </c>
      <c r="X29" s="21">
        <v>109.6</v>
      </c>
      <c r="Y29" s="21">
        <v>219.3</v>
      </c>
      <c r="Z29" s="21">
        <v>108.1</v>
      </c>
      <c r="AA29" s="21">
        <v>106.8</v>
      </c>
      <c r="AB29" s="21">
        <f t="shared" si="1"/>
        <v>214.89999999999998</v>
      </c>
      <c r="AC29" s="21">
        <v>110.5</v>
      </c>
      <c r="AD29" s="21">
        <v>109.9</v>
      </c>
      <c r="AE29" s="21">
        <v>107.5</v>
      </c>
      <c r="AF29" s="21">
        <v>110.6</v>
      </c>
      <c r="AG29" s="21">
        <v>112</v>
      </c>
      <c r="AH29" s="21">
        <v>109</v>
      </c>
      <c r="AI29" s="21">
        <v>113.7</v>
      </c>
    </row>
    <row r="30" spans="1:35" x14ac:dyDescent="0.35">
      <c r="A30" s="21" t="s">
        <v>30</v>
      </c>
      <c r="B30" s="21">
        <v>2013</v>
      </c>
      <c r="C30" s="21" t="s">
        <v>43</v>
      </c>
      <c r="D30" s="17" t="str">
        <f t="shared" si="0"/>
        <v>October-2013</v>
      </c>
      <c r="E30" s="21">
        <v>116.3</v>
      </c>
      <c r="F30" s="21">
        <v>115.4</v>
      </c>
      <c r="G30" s="21">
        <v>112.6</v>
      </c>
      <c r="H30" s="21">
        <v>111.7</v>
      </c>
      <c r="I30" s="21">
        <v>107.7</v>
      </c>
      <c r="J30" s="21">
        <v>113.2</v>
      </c>
      <c r="K30" s="21">
        <v>164.9</v>
      </c>
      <c r="L30" s="21">
        <v>108.3</v>
      </c>
      <c r="M30" s="21">
        <v>103.9</v>
      </c>
      <c r="N30" s="21">
        <v>108.2</v>
      </c>
      <c r="O30" s="21">
        <v>111.1</v>
      </c>
      <c r="P30" s="21">
        <v>114.9</v>
      </c>
      <c r="Q30" s="21">
        <v>119.8</v>
      </c>
      <c r="R30" s="21">
        <v>1508</v>
      </c>
      <c r="S30" s="21">
        <v>113.6</v>
      </c>
      <c r="T30" s="21">
        <v>112.3</v>
      </c>
      <c r="U30" s="21">
        <v>113.4</v>
      </c>
      <c r="V30" s="21">
        <v>339.29999999999995</v>
      </c>
      <c r="W30" s="21">
        <v>110.5</v>
      </c>
      <c r="X30" s="21">
        <v>110.4</v>
      </c>
      <c r="Y30" s="21">
        <v>220.9</v>
      </c>
      <c r="Z30" s="21">
        <v>108.9</v>
      </c>
      <c r="AA30" s="21">
        <v>107.5</v>
      </c>
      <c r="AB30" s="21">
        <f t="shared" si="1"/>
        <v>216.4</v>
      </c>
      <c r="AC30" s="21">
        <v>111.6</v>
      </c>
      <c r="AD30" s="21">
        <v>109.3</v>
      </c>
      <c r="AE30" s="21">
        <v>108.3</v>
      </c>
      <c r="AF30" s="21">
        <v>110.2</v>
      </c>
      <c r="AG30" s="21">
        <v>112.2</v>
      </c>
      <c r="AH30" s="21">
        <v>109.1</v>
      </c>
      <c r="AI30" s="21">
        <v>115.5</v>
      </c>
    </row>
    <row r="31" spans="1:35" x14ac:dyDescent="0.35">
      <c r="A31" s="21" t="s">
        <v>33</v>
      </c>
      <c r="B31" s="21">
        <v>2013</v>
      </c>
      <c r="C31" s="21" t="s">
        <v>43</v>
      </c>
      <c r="D31" s="17" t="str">
        <f t="shared" si="0"/>
        <v>October-2013</v>
      </c>
      <c r="E31" s="21">
        <v>118.9</v>
      </c>
      <c r="F31" s="21">
        <v>118.1</v>
      </c>
      <c r="G31" s="21">
        <v>114.5</v>
      </c>
      <c r="H31" s="21">
        <v>110.4</v>
      </c>
      <c r="I31" s="21">
        <v>102.3</v>
      </c>
      <c r="J31" s="21">
        <v>106.2</v>
      </c>
      <c r="K31" s="21">
        <v>183.5</v>
      </c>
      <c r="L31" s="21">
        <v>105.3</v>
      </c>
      <c r="M31" s="21">
        <v>100.2</v>
      </c>
      <c r="N31" s="21">
        <v>109.6</v>
      </c>
      <c r="O31" s="21">
        <v>111.4</v>
      </c>
      <c r="P31" s="21">
        <v>116</v>
      </c>
      <c r="Q31" s="21">
        <v>120.8</v>
      </c>
      <c r="R31" s="21">
        <v>1517.1999999999998</v>
      </c>
      <c r="S31" s="21">
        <v>112.5</v>
      </c>
      <c r="T31" s="21">
        <v>109.7</v>
      </c>
      <c r="U31" s="21">
        <v>112</v>
      </c>
      <c r="V31" s="21">
        <v>334.2</v>
      </c>
      <c r="W31" s="21">
        <v>110.5</v>
      </c>
      <c r="X31" s="21">
        <v>110.2</v>
      </c>
      <c r="Y31" s="21">
        <v>220.7</v>
      </c>
      <c r="Z31" s="21">
        <v>108.2</v>
      </c>
      <c r="AA31" s="21">
        <v>107.3</v>
      </c>
      <c r="AB31" s="21">
        <f t="shared" si="1"/>
        <v>215.5</v>
      </c>
      <c r="AC31" s="21">
        <v>109.7</v>
      </c>
      <c r="AD31" s="21">
        <v>109.7</v>
      </c>
      <c r="AE31" s="21">
        <v>108</v>
      </c>
      <c r="AF31" s="21">
        <v>111.3</v>
      </c>
      <c r="AG31" s="21">
        <v>113.5</v>
      </c>
      <c r="AH31" s="21">
        <v>109.4</v>
      </c>
      <c r="AI31" s="21">
        <v>114</v>
      </c>
    </row>
    <row r="32" spans="1:35" x14ac:dyDescent="0.35">
      <c r="A32" s="21" t="s">
        <v>34</v>
      </c>
      <c r="B32" s="21">
        <v>2013</v>
      </c>
      <c r="C32" s="21" t="s">
        <v>43</v>
      </c>
      <c r="D32" s="17" t="str">
        <f t="shared" si="0"/>
        <v>October-2013</v>
      </c>
      <c r="E32" s="21">
        <v>117.1</v>
      </c>
      <c r="F32" s="21">
        <v>116.3</v>
      </c>
      <c r="G32" s="21">
        <v>113.3</v>
      </c>
      <c r="H32" s="21">
        <v>111.2</v>
      </c>
      <c r="I32" s="21">
        <v>105.7</v>
      </c>
      <c r="J32" s="21">
        <v>109.9</v>
      </c>
      <c r="K32" s="21">
        <v>171.2</v>
      </c>
      <c r="L32" s="21">
        <v>107.3</v>
      </c>
      <c r="M32" s="21">
        <v>102.7</v>
      </c>
      <c r="N32" s="21">
        <v>108.7</v>
      </c>
      <c r="O32" s="21">
        <v>111.2</v>
      </c>
      <c r="P32" s="21">
        <v>115.4</v>
      </c>
      <c r="Q32" s="21">
        <v>120.2</v>
      </c>
      <c r="R32" s="21">
        <v>1510.2000000000003</v>
      </c>
      <c r="S32" s="21">
        <v>113.2</v>
      </c>
      <c r="T32" s="21">
        <v>111.2</v>
      </c>
      <c r="U32" s="21">
        <v>112.8</v>
      </c>
      <c r="V32" s="21">
        <v>337.2</v>
      </c>
      <c r="W32" s="21">
        <v>110.5</v>
      </c>
      <c r="X32" s="21">
        <v>110.3</v>
      </c>
      <c r="Y32" s="21">
        <v>220.8</v>
      </c>
      <c r="Z32" s="21">
        <v>108.6</v>
      </c>
      <c r="AA32" s="21">
        <v>107.4</v>
      </c>
      <c r="AB32" s="21">
        <f t="shared" si="1"/>
        <v>216</v>
      </c>
      <c r="AC32" s="21">
        <v>110.9</v>
      </c>
      <c r="AD32" s="21">
        <v>109.5</v>
      </c>
      <c r="AE32" s="21">
        <v>108.1</v>
      </c>
      <c r="AF32" s="21">
        <v>110.8</v>
      </c>
      <c r="AG32" s="21">
        <v>112.5</v>
      </c>
      <c r="AH32" s="21">
        <v>109.2</v>
      </c>
      <c r="AI32" s="21">
        <v>114.8</v>
      </c>
    </row>
    <row r="33" spans="1:35" x14ac:dyDescent="0.35">
      <c r="A33" s="21" t="s">
        <v>30</v>
      </c>
      <c r="B33" s="21">
        <v>2013</v>
      </c>
      <c r="C33" s="21" t="s">
        <v>44</v>
      </c>
      <c r="D33" s="17" t="str">
        <f t="shared" si="0"/>
        <v>November -2013</v>
      </c>
      <c r="E33" s="21">
        <v>117.3</v>
      </c>
      <c r="F33" s="21">
        <v>114.9</v>
      </c>
      <c r="G33" s="21">
        <v>116.2</v>
      </c>
      <c r="H33" s="21">
        <v>112.8</v>
      </c>
      <c r="I33" s="21">
        <v>108.9</v>
      </c>
      <c r="J33" s="21">
        <v>116.6</v>
      </c>
      <c r="K33" s="21">
        <v>178.1</v>
      </c>
      <c r="L33" s="21">
        <v>109.1</v>
      </c>
      <c r="M33" s="21">
        <v>103.6</v>
      </c>
      <c r="N33" s="21">
        <v>109</v>
      </c>
      <c r="O33" s="21">
        <v>111.8</v>
      </c>
      <c r="P33" s="21">
        <v>116</v>
      </c>
      <c r="Q33" s="21">
        <v>122.5</v>
      </c>
      <c r="R33" s="21">
        <v>1536.8</v>
      </c>
      <c r="S33" s="21">
        <v>114.6</v>
      </c>
      <c r="T33" s="21">
        <v>113.1</v>
      </c>
      <c r="U33" s="21">
        <v>114.4</v>
      </c>
      <c r="V33" s="21">
        <v>342.1</v>
      </c>
      <c r="W33" s="21">
        <v>111.1</v>
      </c>
      <c r="X33" s="21">
        <v>111.3</v>
      </c>
      <c r="Y33" s="21">
        <v>222.39999999999998</v>
      </c>
      <c r="Z33" s="21">
        <v>109.7</v>
      </c>
      <c r="AA33" s="21">
        <v>108.2</v>
      </c>
      <c r="AB33" s="21">
        <f t="shared" si="1"/>
        <v>217.9</v>
      </c>
      <c r="AC33" s="21">
        <v>112.6</v>
      </c>
      <c r="AD33" s="21">
        <v>109.6</v>
      </c>
      <c r="AE33" s="21">
        <v>108.7</v>
      </c>
      <c r="AF33" s="21">
        <v>111</v>
      </c>
      <c r="AG33" s="21">
        <v>112.8</v>
      </c>
      <c r="AH33" s="21">
        <v>109.8</v>
      </c>
      <c r="AI33" s="21">
        <v>117.4</v>
      </c>
    </row>
    <row r="34" spans="1:35" x14ac:dyDescent="0.35">
      <c r="A34" s="21" t="s">
        <v>33</v>
      </c>
      <c r="B34" s="21">
        <v>2013</v>
      </c>
      <c r="C34" s="21" t="s">
        <v>45</v>
      </c>
      <c r="D34" s="17" t="str">
        <f t="shared" si="0"/>
        <v>November-2013</v>
      </c>
      <c r="E34" s="21">
        <v>119.8</v>
      </c>
      <c r="F34" s="21">
        <v>116.3</v>
      </c>
      <c r="G34" s="21">
        <v>122.6</v>
      </c>
      <c r="H34" s="21">
        <v>112</v>
      </c>
      <c r="I34" s="21">
        <v>103.2</v>
      </c>
      <c r="J34" s="21">
        <v>110</v>
      </c>
      <c r="K34" s="21">
        <v>192.8</v>
      </c>
      <c r="L34" s="21">
        <v>106.3</v>
      </c>
      <c r="M34" s="21">
        <v>99.5</v>
      </c>
      <c r="N34" s="21">
        <v>110.3</v>
      </c>
      <c r="O34" s="21">
        <v>111.8</v>
      </c>
      <c r="P34" s="21">
        <v>117.1</v>
      </c>
      <c r="Q34" s="21">
        <v>122.9</v>
      </c>
      <c r="R34" s="21">
        <v>1544.6</v>
      </c>
      <c r="S34" s="21">
        <v>113.5</v>
      </c>
      <c r="T34" s="21">
        <v>110.3</v>
      </c>
      <c r="U34" s="21">
        <v>113</v>
      </c>
      <c r="V34" s="21">
        <v>336.8</v>
      </c>
      <c r="W34" s="21">
        <v>111.1</v>
      </c>
      <c r="X34" s="21">
        <v>110.9</v>
      </c>
      <c r="Y34" s="21">
        <v>222</v>
      </c>
      <c r="Z34" s="21">
        <v>108.6</v>
      </c>
      <c r="AA34" s="21">
        <v>107.9</v>
      </c>
      <c r="AB34" s="21">
        <f t="shared" si="1"/>
        <v>216.5</v>
      </c>
      <c r="AC34" s="21">
        <v>110</v>
      </c>
      <c r="AD34" s="21">
        <v>109.5</v>
      </c>
      <c r="AE34" s="21">
        <v>108.5</v>
      </c>
      <c r="AF34" s="21">
        <v>111.3</v>
      </c>
      <c r="AG34" s="21">
        <v>114.1</v>
      </c>
      <c r="AH34" s="21">
        <v>109.6</v>
      </c>
      <c r="AI34" s="21">
        <v>115</v>
      </c>
    </row>
    <row r="35" spans="1:35" x14ac:dyDescent="0.35">
      <c r="A35" s="21" t="s">
        <v>34</v>
      </c>
      <c r="B35" s="21">
        <v>2013</v>
      </c>
      <c r="C35" s="21" t="s">
        <v>45</v>
      </c>
      <c r="D35" s="17" t="str">
        <f t="shared" si="0"/>
        <v>November-2013</v>
      </c>
      <c r="E35" s="21">
        <v>118.1</v>
      </c>
      <c r="F35" s="21">
        <v>115.4</v>
      </c>
      <c r="G35" s="21">
        <v>118.7</v>
      </c>
      <c r="H35" s="21">
        <v>112.5</v>
      </c>
      <c r="I35" s="21">
        <v>106.8</v>
      </c>
      <c r="J35" s="21">
        <v>113.5</v>
      </c>
      <c r="K35" s="21">
        <v>183.1</v>
      </c>
      <c r="L35" s="21">
        <v>108.2</v>
      </c>
      <c r="M35" s="21">
        <v>102.2</v>
      </c>
      <c r="N35" s="21">
        <v>109.4</v>
      </c>
      <c r="O35" s="21">
        <v>111.8</v>
      </c>
      <c r="P35" s="21">
        <v>116.5</v>
      </c>
      <c r="Q35" s="21">
        <v>122.6</v>
      </c>
      <c r="R35" s="21">
        <v>1538.8</v>
      </c>
      <c r="S35" s="21">
        <v>114.2</v>
      </c>
      <c r="T35" s="21">
        <v>111.9</v>
      </c>
      <c r="U35" s="21">
        <v>113.8</v>
      </c>
      <c r="V35" s="21">
        <v>339.90000000000003</v>
      </c>
      <c r="W35" s="21">
        <v>111.1</v>
      </c>
      <c r="X35" s="21">
        <v>111.1</v>
      </c>
      <c r="Y35" s="21">
        <v>222.2</v>
      </c>
      <c r="Z35" s="21">
        <v>109.3</v>
      </c>
      <c r="AA35" s="21">
        <v>108.1</v>
      </c>
      <c r="AB35" s="21">
        <f t="shared" si="1"/>
        <v>217.39999999999998</v>
      </c>
      <c r="AC35" s="21">
        <v>111.6</v>
      </c>
      <c r="AD35" s="21">
        <v>109.5</v>
      </c>
      <c r="AE35" s="21">
        <v>108.6</v>
      </c>
      <c r="AF35" s="21">
        <v>111.2</v>
      </c>
      <c r="AG35" s="21">
        <v>113.1</v>
      </c>
      <c r="AH35" s="21">
        <v>109.7</v>
      </c>
      <c r="AI35" s="21">
        <v>116.3</v>
      </c>
    </row>
    <row r="36" spans="1:35" x14ac:dyDescent="0.35">
      <c r="A36" s="21" t="s">
        <v>30</v>
      </c>
      <c r="B36" s="21">
        <v>2013</v>
      </c>
      <c r="C36" s="21" t="s">
        <v>46</v>
      </c>
      <c r="D36" s="17" t="str">
        <f t="shared" si="0"/>
        <v>December-2013</v>
      </c>
      <c r="E36" s="21">
        <v>118.4</v>
      </c>
      <c r="F36" s="21">
        <v>115.9</v>
      </c>
      <c r="G36" s="21">
        <v>120.4</v>
      </c>
      <c r="H36" s="21">
        <v>113.8</v>
      </c>
      <c r="I36" s="21">
        <v>109.5</v>
      </c>
      <c r="J36" s="21">
        <v>115.5</v>
      </c>
      <c r="K36" s="21">
        <v>145.69999999999999</v>
      </c>
      <c r="L36" s="21">
        <v>109.5</v>
      </c>
      <c r="M36" s="21">
        <v>102.9</v>
      </c>
      <c r="N36" s="21">
        <v>109.8</v>
      </c>
      <c r="O36" s="21">
        <v>112.1</v>
      </c>
      <c r="P36" s="21">
        <v>116.8</v>
      </c>
      <c r="Q36" s="21">
        <v>118.7</v>
      </c>
      <c r="R36" s="21">
        <v>1509</v>
      </c>
      <c r="S36" s="21">
        <v>115.8</v>
      </c>
      <c r="T36" s="21">
        <v>114</v>
      </c>
      <c r="U36" s="21">
        <v>115.5</v>
      </c>
      <c r="V36" s="21">
        <v>345.3</v>
      </c>
      <c r="W36" s="21">
        <v>110.7</v>
      </c>
      <c r="X36" s="21">
        <v>112.1</v>
      </c>
      <c r="Y36" s="21">
        <v>222.8</v>
      </c>
      <c r="Z36" s="21">
        <v>110.1</v>
      </c>
      <c r="AA36" s="21">
        <v>108.1</v>
      </c>
      <c r="AB36" s="21">
        <f t="shared" si="1"/>
        <v>218.2</v>
      </c>
      <c r="AC36" s="21">
        <v>112.8</v>
      </c>
      <c r="AD36" s="21">
        <v>109.9</v>
      </c>
      <c r="AE36" s="21">
        <v>109.2</v>
      </c>
      <c r="AF36" s="21">
        <v>111.6</v>
      </c>
      <c r="AG36" s="21">
        <v>113.6</v>
      </c>
      <c r="AH36" s="21">
        <v>110.1</v>
      </c>
      <c r="AI36" s="21">
        <v>115.5</v>
      </c>
    </row>
    <row r="37" spans="1:35" x14ac:dyDescent="0.35">
      <c r="A37" s="21" t="s">
        <v>33</v>
      </c>
      <c r="B37" s="21">
        <v>2013</v>
      </c>
      <c r="C37" s="21" t="s">
        <v>46</v>
      </c>
      <c r="D37" s="17" t="str">
        <f t="shared" si="0"/>
        <v>December-2013</v>
      </c>
      <c r="E37" s="21">
        <v>120.5</v>
      </c>
      <c r="F37" s="21">
        <v>118.1</v>
      </c>
      <c r="G37" s="21">
        <v>128.5</v>
      </c>
      <c r="H37" s="21">
        <v>112.8</v>
      </c>
      <c r="I37" s="21">
        <v>103.4</v>
      </c>
      <c r="J37" s="21">
        <v>110.7</v>
      </c>
      <c r="K37" s="21">
        <v>144.80000000000001</v>
      </c>
      <c r="L37" s="21">
        <v>107.1</v>
      </c>
      <c r="M37" s="21">
        <v>98.6</v>
      </c>
      <c r="N37" s="21">
        <v>111.9</v>
      </c>
      <c r="O37" s="21">
        <v>112.1</v>
      </c>
      <c r="P37" s="21">
        <v>118.1</v>
      </c>
      <c r="Q37" s="21">
        <v>117.8</v>
      </c>
      <c r="R37" s="21">
        <v>1504.4</v>
      </c>
      <c r="S37" s="21">
        <v>114.2</v>
      </c>
      <c r="T37" s="21">
        <v>110.9</v>
      </c>
      <c r="U37" s="21">
        <v>113.7</v>
      </c>
      <c r="V37" s="21">
        <v>338.8</v>
      </c>
      <c r="W37" s="21">
        <v>110.7</v>
      </c>
      <c r="X37" s="21">
        <v>111.3</v>
      </c>
      <c r="Y37" s="21">
        <v>222</v>
      </c>
      <c r="Z37" s="21">
        <v>109</v>
      </c>
      <c r="AA37" s="21">
        <v>107.7</v>
      </c>
      <c r="AB37" s="21">
        <f t="shared" si="1"/>
        <v>216.7</v>
      </c>
      <c r="AC37" s="21">
        <v>110.4</v>
      </c>
      <c r="AD37" s="21">
        <v>109.7</v>
      </c>
      <c r="AE37" s="21">
        <v>108.9</v>
      </c>
      <c r="AF37" s="21">
        <v>111.4</v>
      </c>
      <c r="AG37" s="21">
        <v>115</v>
      </c>
      <c r="AH37" s="21">
        <v>109.8</v>
      </c>
      <c r="AI37" s="21">
        <v>113.3</v>
      </c>
    </row>
    <row r="38" spans="1:35" x14ac:dyDescent="0.35">
      <c r="A38" s="21" t="s">
        <v>34</v>
      </c>
      <c r="B38" s="21">
        <v>2013</v>
      </c>
      <c r="C38" s="21" t="s">
        <v>46</v>
      </c>
      <c r="D38" s="17" t="str">
        <f t="shared" si="0"/>
        <v>December-2013</v>
      </c>
      <c r="E38" s="21">
        <v>119.1</v>
      </c>
      <c r="F38" s="21">
        <v>116.7</v>
      </c>
      <c r="G38" s="21">
        <v>123.5</v>
      </c>
      <c r="H38" s="21">
        <v>113.4</v>
      </c>
      <c r="I38" s="21">
        <v>107.3</v>
      </c>
      <c r="J38" s="21">
        <v>113.3</v>
      </c>
      <c r="K38" s="21">
        <v>145.4</v>
      </c>
      <c r="L38" s="21">
        <v>108.7</v>
      </c>
      <c r="M38" s="21">
        <v>101.5</v>
      </c>
      <c r="N38" s="21">
        <v>110.5</v>
      </c>
      <c r="O38" s="21">
        <v>112.1</v>
      </c>
      <c r="P38" s="21">
        <v>117.4</v>
      </c>
      <c r="Q38" s="21">
        <v>118.4</v>
      </c>
      <c r="R38" s="21">
        <v>1507.3000000000002</v>
      </c>
      <c r="S38" s="21">
        <v>115.2</v>
      </c>
      <c r="T38" s="21">
        <v>112.7</v>
      </c>
      <c r="U38" s="21">
        <v>114.8</v>
      </c>
      <c r="V38" s="21">
        <v>342.7</v>
      </c>
      <c r="W38" s="21">
        <v>110.7</v>
      </c>
      <c r="X38" s="21">
        <v>111.7</v>
      </c>
      <c r="Y38" s="21">
        <v>222.4</v>
      </c>
      <c r="Z38" s="21">
        <v>109.7</v>
      </c>
      <c r="AA38" s="21">
        <v>107.9</v>
      </c>
      <c r="AB38" s="21">
        <f t="shared" si="1"/>
        <v>217.60000000000002</v>
      </c>
      <c r="AC38" s="21">
        <v>111.9</v>
      </c>
      <c r="AD38" s="21">
        <v>109.8</v>
      </c>
      <c r="AE38" s="21">
        <v>109</v>
      </c>
      <c r="AF38" s="21">
        <v>111.5</v>
      </c>
      <c r="AG38" s="21">
        <v>114</v>
      </c>
      <c r="AH38" s="21">
        <v>110</v>
      </c>
      <c r="AI38" s="21">
        <v>114.5</v>
      </c>
    </row>
    <row r="39" spans="1:35" x14ac:dyDescent="0.35">
      <c r="A39" s="21" t="s">
        <v>30</v>
      </c>
      <c r="B39" s="21">
        <v>2014</v>
      </c>
      <c r="C39" s="21" t="s">
        <v>31</v>
      </c>
      <c r="D39" s="17" t="str">
        <f t="shared" si="0"/>
        <v>January-2014</v>
      </c>
      <c r="E39" s="21">
        <v>118.9</v>
      </c>
      <c r="F39" s="21">
        <v>117.1</v>
      </c>
      <c r="G39" s="21">
        <v>120.5</v>
      </c>
      <c r="H39" s="21">
        <v>114.4</v>
      </c>
      <c r="I39" s="21">
        <v>109</v>
      </c>
      <c r="J39" s="21">
        <v>115.5</v>
      </c>
      <c r="K39" s="21">
        <v>123.9</v>
      </c>
      <c r="L39" s="21">
        <v>109.6</v>
      </c>
      <c r="M39" s="21">
        <v>101.8</v>
      </c>
      <c r="N39" s="21">
        <v>110.2</v>
      </c>
      <c r="O39" s="21">
        <v>112.4</v>
      </c>
      <c r="P39" s="21">
        <v>117.3</v>
      </c>
      <c r="Q39" s="21">
        <v>116</v>
      </c>
      <c r="R39" s="21">
        <v>1486.6000000000001</v>
      </c>
      <c r="S39" s="21">
        <v>116.5</v>
      </c>
      <c r="T39" s="21">
        <v>114.5</v>
      </c>
      <c r="U39" s="21">
        <v>116.2</v>
      </c>
      <c r="V39" s="21">
        <v>347.2</v>
      </c>
      <c r="W39" s="21">
        <v>111.6</v>
      </c>
      <c r="X39" s="21">
        <v>112.6</v>
      </c>
      <c r="Y39" s="21">
        <v>224.2</v>
      </c>
      <c r="Z39" s="21">
        <v>110.6</v>
      </c>
      <c r="AA39" s="21">
        <v>108.3</v>
      </c>
      <c r="AB39" s="21">
        <f t="shared" si="1"/>
        <v>218.89999999999998</v>
      </c>
      <c r="AC39" s="21">
        <v>113</v>
      </c>
      <c r="AD39" s="21">
        <v>110.5</v>
      </c>
      <c r="AE39" s="21">
        <v>109.6</v>
      </c>
      <c r="AF39" s="21">
        <v>111.8</v>
      </c>
      <c r="AG39" s="21">
        <v>114</v>
      </c>
      <c r="AH39" s="21">
        <v>110.6</v>
      </c>
      <c r="AI39" s="21">
        <v>114.2</v>
      </c>
    </row>
    <row r="40" spans="1:35" x14ac:dyDescent="0.35">
      <c r="A40" s="21" t="s">
        <v>33</v>
      </c>
      <c r="B40" s="21">
        <v>2014</v>
      </c>
      <c r="C40" s="21" t="s">
        <v>31</v>
      </c>
      <c r="D40" s="17" t="str">
        <f t="shared" si="0"/>
        <v>January-2014</v>
      </c>
      <c r="E40" s="21">
        <v>121.2</v>
      </c>
      <c r="F40" s="21">
        <v>122</v>
      </c>
      <c r="G40" s="21">
        <v>129.9</v>
      </c>
      <c r="H40" s="21">
        <v>113.6</v>
      </c>
      <c r="I40" s="21">
        <v>102.9</v>
      </c>
      <c r="J40" s="21">
        <v>112.1</v>
      </c>
      <c r="K40" s="21">
        <v>118.9</v>
      </c>
      <c r="L40" s="21">
        <v>107.5</v>
      </c>
      <c r="M40" s="21">
        <v>96.9</v>
      </c>
      <c r="N40" s="21">
        <v>112.7</v>
      </c>
      <c r="O40" s="21">
        <v>112.1</v>
      </c>
      <c r="P40" s="21">
        <v>119</v>
      </c>
      <c r="Q40" s="21">
        <v>115.5</v>
      </c>
      <c r="R40" s="21">
        <v>1484.3</v>
      </c>
      <c r="S40" s="21">
        <v>114.8</v>
      </c>
      <c r="T40" s="21">
        <v>111.3</v>
      </c>
      <c r="U40" s="21">
        <v>114.3</v>
      </c>
      <c r="V40" s="21">
        <v>340.4</v>
      </c>
      <c r="W40" s="21">
        <v>111.6</v>
      </c>
      <c r="X40" s="21">
        <v>111.9</v>
      </c>
      <c r="Y40" s="21">
        <v>223.5</v>
      </c>
      <c r="Z40" s="21">
        <v>109.7</v>
      </c>
      <c r="AA40" s="21">
        <v>108</v>
      </c>
      <c r="AB40" s="21">
        <f t="shared" si="1"/>
        <v>217.7</v>
      </c>
      <c r="AC40" s="21">
        <v>111</v>
      </c>
      <c r="AD40" s="21">
        <v>110.8</v>
      </c>
      <c r="AE40" s="21">
        <v>109.8</v>
      </c>
      <c r="AF40" s="21">
        <v>111.5</v>
      </c>
      <c r="AG40" s="21">
        <v>115.7</v>
      </c>
      <c r="AH40" s="21">
        <v>110.5</v>
      </c>
      <c r="AI40" s="21">
        <v>112.9</v>
      </c>
    </row>
    <row r="41" spans="1:35" x14ac:dyDescent="0.35">
      <c r="A41" s="21" t="s">
        <v>34</v>
      </c>
      <c r="B41" s="21">
        <v>2014</v>
      </c>
      <c r="C41" s="21" t="s">
        <v>31</v>
      </c>
      <c r="D41" s="17" t="str">
        <f t="shared" si="0"/>
        <v>January-2014</v>
      </c>
      <c r="E41" s="21">
        <v>119.6</v>
      </c>
      <c r="F41" s="21">
        <v>118.8</v>
      </c>
      <c r="G41" s="21">
        <v>124.1</v>
      </c>
      <c r="H41" s="21">
        <v>114.1</v>
      </c>
      <c r="I41" s="21">
        <v>106.8</v>
      </c>
      <c r="J41" s="21">
        <v>113.9</v>
      </c>
      <c r="K41" s="21">
        <v>122.2</v>
      </c>
      <c r="L41" s="21">
        <v>108.9</v>
      </c>
      <c r="M41" s="21">
        <v>100.2</v>
      </c>
      <c r="N41" s="21">
        <v>111</v>
      </c>
      <c r="O41" s="21">
        <v>112.3</v>
      </c>
      <c r="P41" s="21">
        <v>118.1</v>
      </c>
      <c r="Q41" s="21">
        <v>115.8</v>
      </c>
      <c r="R41" s="21">
        <v>1485.7999999999997</v>
      </c>
      <c r="S41" s="21">
        <v>115.8</v>
      </c>
      <c r="T41" s="21">
        <v>113.2</v>
      </c>
      <c r="U41" s="21">
        <v>115.4</v>
      </c>
      <c r="V41" s="21">
        <v>344.4</v>
      </c>
      <c r="W41" s="21">
        <v>111.6</v>
      </c>
      <c r="X41" s="21">
        <v>112.3</v>
      </c>
      <c r="Y41" s="21">
        <v>223.89999999999998</v>
      </c>
      <c r="Z41" s="21">
        <v>110.3</v>
      </c>
      <c r="AA41" s="21">
        <v>108.2</v>
      </c>
      <c r="AB41" s="21">
        <f t="shared" si="1"/>
        <v>218.5</v>
      </c>
      <c r="AC41" s="21">
        <v>112.2</v>
      </c>
      <c r="AD41" s="21">
        <v>110.7</v>
      </c>
      <c r="AE41" s="21">
        <v>109.7</v>
      </c>
      <c r="AF41" s="21">
        <v>111.6</v>
      </c>
      <c r="AG41" s="21">
        <v>114.5</v>
      </c>
      <c r="AH41" s="21">
        <v>110.6</v>
      </c>
      <c r="AI41" s="21">
        <v>113.6</v>
      </c>
    </row>
    <row r="42" spans="1:35" x14ac:dyDescent="0.35">
      <c r="A42" s="21" t="s">
        <v>30</v>
      </c>
      <c r="B42" s="21">
        <v>2014</v>
      </c>
      <c r="C42" s="21" t="s">
        <v>35</v>
      </c>
      <c r="D42" s="17" t="str">
        <f t="shared" si="0"/>
        <v>February-2014</v>
      </c>
      <c r="E42" s="21">
        <v>119.4</v>
      </c>
      <c r="F42" s="21">
        <v>117.7</v>
      </c>
      <c r="G42" s="21">
        <v>121.2</v>
      </c>
      <c r="H42" s="21">
        <v>115</v>
      </c>
      <c r="I42" s="21">
        <v>109</v>
      </c>
      <c r="J42" s="21">
        <v>116.6</v>
      </c>
      <c r="K42" s="21">
        <v>116</v>
      </c>
      <c r="L42" s="21">
        <v>109.8</v>
      </c>
      <c r="M42" s="21">
        <v>101.1</v>
      </c>
      <c r="N42" s="21">
        <v>110.4</v>
      </c>
      <c r="O42" s="21">
        <v>112.9</v>
      </c>
      <c r="P42" s="21">
        <v>117.8</v>
      </c>
      <c r="Q42" s="21">
        <v>115.3</v>
      </c>
      <c r="R42" s="21">
        <v>1482.2</v>
      </c>
      <c r="S42" s="21">
        <v>117.1</v>
      </c>
      <c r="T42" s="21">
        <v>114.5</v>
      </c>
      <c r="U42" s="21">
        <v>116.7</v>
      </c>
      <c r="V42" s="21">
        <v>348.3</v>
      </c>
      <c r="W42" s="21">
        <v>112.5</v>
      </c>
      <c r="X42" s="21">
        <v>112.9</v>
      </c>
      <c r="Y42" s="21">
        <v>225.4</v>
      </c>
      <c r="Z42" s="21">
        <v>110.9</v>
      </c>
      <c r="AA42" s="21">
        <v>108.7</v>
      </c>
      <c r="AB42" s="21">
        <f t="shared" si="1"/>
        <v>219.60000000000002</v>
      </c>
      <c r="AC42" s="21">
        <v>113.2</v>
      </c>
      <c r="AD42" s="21">
        <v>110.8</v>
      </c>
      <c r="AE42" s="21">
        <v>109.9</v>
      </c>
      <c r="AF42" s="21">
        <v>112</v>
      </c>
      <c r="AG42" s="21">
        <v>114.2</v>
      </c>
      <c r="AH42" s="21">
        <v>110.9</v>
      </c>
      <c r="AI42" s="21">
        <v>114</v>
      </c>
    </row>
    <row r="43" spans="1:35" x14ac:dyDescent="0.35">
      <c r="A43" s="21" t="s">
        <v>33</v>
      </c>
      <c r="B43" s="21">
        <v>2014</v>
      </c>
      <c r="C43" s="21" t="s">
        <v>35</v>
      </c>
      <c r="D43" s="17" t="str">
        <f t="shared" si="0"/>
        <v>February-2014</v>
      </c>
      <c r="E43" s="21">
        <v>121.9</v>
      </c>
      <c r="F43" s="21">
        <v>122</v>
      </c>
      <c r="G43" s="21">
        <v>124.5</v>
      </c>
      <c r="H43" s="21">
        <v>115.2</v>
      </c>
      <c r="I43" s="21">
        <v>102.5</v>
      </c>
      <c r="J43" s="21">
        <v>114.1</v>
      </c>
      <c r="K43" s="21">
        <v>111.5</v>
      </c>
      <c r="L43" s="21">
        <v>108.2</v>
      </c>
      <c r="M43" s="21">
        <v>95.4</v>
      </c>
      <c r="N43" s="21">
        <v>113.5</v>
      </c>
      <c r="O43" s="21">
        <v>112.1</v>
      </c>
      <c r="P43" s="21">
        <v>119.9</v>
      </c>
      <c r="Q43" s="21">
        <v>115.2</v>
      </c>
      <c r="R43" s="21">
        <v>1476</v>
      </c>
      <c r="S43" s="21">
        <v>115.3</v>
      </c>
      <c r="T43" s="21">
        <v>111.7</v>
      </c>
      <c r="U43" s="21">
        <v>114.7</v>
      </c>
      <c r="V43" s="21">
        <v>341.7</v>
      </c>
      <c r="W43" s="21">
        <v>112.5</v>
      </c>
      <c r="X43" s="21">
        <v>112.6</v>
      </c>
      <c r="Y43" s="21">
        <v>225.1</v>
      </c>
      <c r="Z43" s="21">
        <v>110.4</v>
      </c>
      <c r="AA43" s="21">
        <v>108.7</v>
      </c>
      <c r="AB43" s="21">
        <f t="shared" si="1"/>
        <v>219.10000000000002</v>
      </c>
      <c r="AC43" s="21">
        <v>111.1</v>
      </c>
      <c r="AD43" s="21">
        <v>111.3</v>
      </c>
      <c r="AE43" s="21">
        <v>110.3</v>
      </c>
      <c r="AF43" s="21">
        <v>111.6</v>
      </c>
      <c r="AG43" s="21">
        <v>116.2</v>
      </c>
      <c r="AH43" s="21">
        <v>111</v>
      </c>
      <c r="AI43" s="21">
        <v>113.1</v>
      </c>
    </row>
    <row r="44" spans="1:35" x14ac:dyDescent="0.35">
      <c r="A44" s="21" t="s">
        <v>34</v>
      </c>
      <c r="B44" s="21">
        <v>2014</v>
      </c>
      <c r="C44" s="21" t="s">
        <v>35</v>
      </c>
      <c r="D44" s="17" t="str">
        <f t="shared" si="0"/>
        <v>February-2014</v>
      </c>
      <c r="E44" s="21">
        <v>120.2</v>
      </c>
      <c r="F44" s="21">
        <v>119.2</v>
      </c>
      <c r="G44" s="21">
        <v>122.5</v>
      </c>
      <c r="H44" s="21">
        <v>115.1</v>
      </c>
      <c r="I44" s="21">
        <v>106.6</v>
      </c>
      <c r="J44" s="21">
        <v>115.4</v>
      </c>
      <c r="K44" s="21">
        <v>114.5</v>
      </c>
      <c r="L44" s="21">
        <v>109.3</v>
      </c>
      <c r="M44" s="21">
        <v>99.2</v>
      </c>
      <c r="N44" s="21">
        <v>111.4</v>
      </c>
      <c r="O44" s="21">
        <v>112.6</v>
      </c>
      <c r="P44" s="21">
        <v>118.8</v>
      </c>
      <c r="Q44" s="21">
        <v>115.3</v>
      </c>
      <c r="R44" s="21">
        <v>1480.1</v>
      </c>
      <c r="S44" s="21">
        <v>116.4</v>
      </c>
      <c r="T44" s="21">
        <v>113.3</v>
      </c>
      <c r="U44" s="21">
        <v>115.9</v>
      </c>
      <c r="V44" s="21">
        <v>345.6</v>
      </c>
      <c r="W44" s="21">
        <v>112.5</v>
      </c>
      <c r="X44" s="21">
        <v>112.8</v>
      </c>
      <c r="Y44" s="21">
        <v>225.3</v>
      </c>
      <c r="Z44" s="21">
        <v>110.7</v>
      </c>
      <c r="AA44" s="21">
        <v>108.7</v>
      </c>
      <c r="AB44" s="21">
        <f t="shared" si="1"/>
        <v>219.4</v>
      </c>
      <c r="AC44" s="21">
        <v>112.4</v>
      </c>
      <c r="AD44" s="21">
        <v>111.1</v>
      </c>
      <c r="AE44" s="21">
        <v>110.1</v>
      </c>
      <c r="AF44" s="21">
        <v>111.8</v>
      </c>
      <c r="AG44" s="21">
        <v>114.7</v>
      </c>
      <c r="AH44" s="21">
        <v>110.9</v>
      </c>
      <c r="AI44" s="21">
        <v>113.6</v>
      </c>
    </row>
    <row r="45" spans="1:35" x14ac:dyDescent="0.35">
      <c r="A45" s="21" t="s">
        <v>30</v>
      </c>
      <c r="B45" s="21">
        <v>2014</v>
      </c>
      <c r="C45" s="21" t="s">
        <v>36</v>
      </c>
      <c r="D45" s="17" t="str">
        <f t="shared" si="0"/>
        <v>March-2014</v>
      </c>
      <c r="E45" s="21">
        <v>120.1</v>
      </c>
      <c r="F45" s="21">
        <v>118.1</v>
      </c>
      <c r="G45" s="21">
        <v>120.7</v>
      </c>
      <c r="H45" s="21">
        <v>116.1</v>
      </c>
      <c r="I45" s="21">
        <v>109.3</v>
      </c>
      <c r="J45" s="21">
        <v>119.6</v>
      </c>
      <c r="K45" s="21">
        <v>117.9</v>
      </c>
      <c r="L45" s="21">
        <v>110.2</v>
      </c>
      <c r="M45" s="21">
        <v>101.2</v>
      </c>
      <c r="N45" s="21">
        <v>110.7</v>
      </c>
      <c r="O45" s="21">
        <v>113</v>
      </c>
      <c r="P45" s="21">
        <v>118.3</v>
      </c>
      <c r="Q45" s="21">
        <v>116.2</v>
      </c>
      <c r="R45" s="21">
        <v>1491.4</v>
      </c>
      <c r="S45" s="21">
        <v>117.5</v>
      </c>
      <c r="T45" s="21">
        <v>114.9</v>
      </c>
      <c r="U45" s="21">
        <v>117.2</v>
      </c>
      <c r="V45" s="21">
        <v>349.6</v>
      </c>
      <c r="W45" s="21">
        <v>113.2</v>
      </c>
      <c r="X45" s="21">
        <v>113.4</v>
      </c>
      <c r="Y45" s="21">
        <v>226.60000000000002</v>
      </c>
      <c r="Z45" s="21">
        <v>111.4</v>
      </c>
      <c r="AA45" s="21">
        <v>108.9</v>
      </c>
      <c r="AB45" s="21">
        <f t="shared" si="1"/>
        <v>220.3</v>
      </c>
      <c r="AC45" s="21">
        <v>113.4</v>
      </c>
      <c r="AD45" s="21">
        <v>111.2</v>
      </c>
      <c r="AE45" s="21">
        <v>110.2</v>
      </c>
      <c r="AF45" s="21">
        <v>112.4</v>
      </c>
      <c r="AG45" s="21">
        <v>114.6</v>
      </c>
      <c r="AH45" s="21">
        <v>111.3</v>
      </c>
      <c r="AI45" s="21">
        <v>114.6</v>
      </c>
    </row>
    <row r="46" spans="1:35" x14ac:dyDescent="0.35">
      <c r="A46" s="21" t="s">
        <v>33</v>
      </c>
      <c r="B46" s="21">
        <v>2014</v>
      </c>
      <c r="C46" s="21" t="s">
        <v>36</v>
      </c>
      <c r="D46" s="17" t="str">
        <f t="shared" si="0"/>
        <v>March-2014</v>
      </c>
      <c r="E46" s="21">
        <v>122.1</v>
      </c>
      <c r="F46" s="21">
        <v>121.4</v>
      </c>
      <c r="G46" s="21">
        <v>121.5</v>
      </c>
      <c r="H46" s="21">
        <v>116.2</v>
      </c>
      <c r="I46" s="21">
        <v>102.8</v>
      </c>
      <c r="J46" s="21">
        <v>117.7</v>
      </c>
      <c r="K46" s="21">
        <v>113.3</v>
      </c>
      <c r="L46" s="21">
        <v>108.9</v>
      </c>
      <c r="M46" s="21">
        <v>96.3</v>
      </c>
      <c r="N46" s="21">
        <v>114.1</v>
      </c>
      <c r="O46" s="21">
        <v>112.2</v>
      </c>
      <c r="P46" s="21">
        <v>120.5</v>
      </c>
      <c r="Q46" s="21">
        <v>116</v>
      </c>
      <c r="R46" s="21">
        <v>1483</v>
      </c>
      <c r="S46" s="21">
        <v>115.8</v>
      </c>
      <c r="T46" s="21">
        <v>112.1</v>
      </c>
      <c r="U46" s="21">
        <v>115.2</v>
      </c>
      <c r="V46" s="21">
        <v>343.09999999999997</v>
      </c>
      <c r="W46" s="21">
        <v>113.2</v>
      </c>
      <c r="X46" s="21">
        <v>113</v>
      </c>
      <c r="Y46" s="21">
        <v>226.2</v>
      </c>
      <c r="Z46" s="21">
        <v>110.8</v>
      </c>
      <c r="AA46" s="21">
        <v>109.2</v>
      </c>
      <c r="AB46" s="21">
        <f t="shared" si="1"/>
        <v>220</v>
      </c>
      <c r="AC46" s="21">
        <v>110.9</v>
      </c>
      <c r="AD46" s="21">
        <v>111.6</v>
      </c>
      <c r="AE46" s="21">
        <v>110.9</v>
      </c>
      <c r="AF46" s="21">
        <v>111.8</v>
      </c>
      <c r="AG46" s="21">
        <v>116.7</v>
      </c>
      <c r="AH46" s="21">
        <v>111.4</v>
      </c>
      <c r="AI46" s="21">
        <v>113.7</v>
      </c>
    </row>
    <row r="47" spans="1:35" x14ac:dyDescent="0.35">
      <c r="A47" s="21" t="s">
        <v>34</v>
      </c>
      <c r="B47" s="21">
        <v>2014</v>
      </c>
      <c r="C47" s="21" t="s">
        <v>47</v>
      </c>
      <c r="D47" s="17" t="str">
        <f t="shared" si="0"/>
        <v>Marcrh-2014</v>
      </c>
      <c r="E47" s="21">
        <v>120.7</v>
      </c>
      <c r="F47" s="21">
        <v>119.3</v>
      </c>
      <c r="G47" s="21">
        <v>121</v>
      </c>
      <c r="H47" s="21">
        <v>116.1</v>
      </c>
      <c r="I47" s="21">
        <v>106.9</v>
      </c>
      <c r="J47" s="21">
        <v>118.7</v>
      </c>
      <c r="K47" s="21">
        <v>116.3</v>
      </c>
      <c r="L47" s="21">
        <v>109.8</v>
      </c>
      <c r="M47" s="21">
        <v>99.6</v>
      </c>
      <c r="N47" s="21">
        <v>111.8</v>
      </c>
      <c r="O47" s="21">
        <v>112.7</v>
      </c>
      <c r="P47" s="21">
        <v>119.3</v>
      </c>
      <c r="Q47" s="21">
        <v>116.1</v>
      </c>
      <c r="R47" s="21">
        <v>1488.2999999999997</v>
      </c>
      <c r="S47" s="21">
        <v>116.8</v>
      </c>
      <c r="T47" s="21">
        <v>113.7</v>
      </c>
      <c r="U47" s="21">
        <v>116.4</v>
      </c>
      <c r="V47" s="21">
        <v>346.9</v>
      </c>
      <c r="W47" s="21">
        <v>113.2</v>
      </c>
      <c r="X47" s="21">
        <v>113.2</v>
      </c>
      <c r="Y47" s="21">
        <v>226.4</v>
      </c>
      <c r="Z47" s="21">
        <v>111.2</v>
      </c>
      <c r="AA47" s="21">
        <v>109</v>
      </c>
      <c r="AB47" s="21">
        <f t="shared" si="1"/>
        <v>220.2</v>
      </c>
      <c r="AC47" s="21">
        <v>112.5</v>
      </c>
      <c r="AD47" s="21">
        <v>111.4</v>
      </c>
      <c r="AE47" s="21">
        <v>110.6</v>
      </c>
      <c r="AF47" s="21">
        <v>112</v>
      </c>
      <c r="AG47" s="21">
        <v>115.2</v>
      </c>
      <c r="AH47" s="21">
        <v>111.3</v>
      </c>
      <c r="AI47" s="21">
        <v>114.2</v>
      </c>
    </row>
    <row r="48" spans="1:35" x14ac:dyDescent="0.35">
      <c r="A48" s="21" t="s">
        <v>30</v>
      </c>
      <c r="B48" s="21">
        <v>2014</v>
      </c>
      <c r="C48" s="21" t="s">
        <v>37</v>
      </c>
      <c r="D48" s="17" t="str">
        <f t="shared" si="0"/>
        <v>April-2014</v>
      </c>
      <c r="E48" s="21">
        <v>120.2</v>
      </c>
      <c r="F48" s="21">
        <v>118.9</v>
      </c>
      <c r="G48" s="21">
        <v>118.1</v>
      </c>
      <c r="H48" s="21">
        <v>117</v>
      </c>
      <c r="I48" s="21">
        <v>109.7</v>
      </c>
      <c r="J48" s="21">
        <v>125.5</v>
      </c>
      <c r="K48" s="21">
        <v>120.5</v>
      </c>
      <c r="L48" s="21">
        <v>111</v>
      </c>
      <c r="M48" s="21">
        <v>102.6</v>
      </c>
      <c r="N48" s="21">
        <v>111.2</v>
      </c>
      <c r="O48" s="21">
        <v>113.5</v>
      </c>
      <c r="P48" s="21">
        <v>118.7</v>
      </c>
      <c r="Q48" s="21">
        <v>117.2</v>
      </c>
      <c r="R48" s="21">
        <v>1504.1000000000001</v>
      </c>
      <c r="S48" s="21">
        <v>118.1</v>
      </c>
      <c r="T48" s="21">
        <v>116.1</v>
      </c>
      <c r="U48" s="21">
        <v>117.8</v>
      </c>
      <c r="V48" s="21">
        <v>352</v>
      </c>
      <c r="W48" s="21">
        <v>113.9</v>
      </c>
      <c r="X48" s="21">
        <v>113.7</v>
      </c>
      <c r="Y48" s="21">
        <v>227.60000000000002</v>
      </c>
      <c r="Z48" s="21">
        <v>111.8</v>
      </c>
      <c r="AA48" s="21">
        <v>108.9</v>
      </c>
      <c r="AB48" s="21">
        <f t="shared" si="1"/>
        <v>220.7</v>
      </c>
      <c r="AC48" s="21">
        <v>113.4</v>
      </c>
      <c r="AD48" s="21">
        <v>111.2</v>
      </c>
      <c r="AE48" s="21">
        <v>110.5</v>
      </c>
      <c r="AF48" s="21">
        <v>113</v>
      </c>
      <c r="AG48" s="21">
        <v>115.4</v>
      </c>
      <c r="AH48" s="21">
        <v>111.5</v>
      </c>
      <c r="AI48" s="21">
        <v>115.4</v>
      </c>
    </row>
    <row r="49" spans="1:35" x14ac:dyDescent="0.35">
      <c r="A49" s="21" t="s">
        <v>33</v>
      </c>
      <c r="B49" s="21">
        <v>2014</v>
      </c>
      <c r="C49" s="21" t="s">
        <v>37</v>
      </c>
      <c r="D49" s="17" t="str">
        <f t="shared" si="0"/>
        <v>April-2014</v>
      </c>
      <c r="E49" s="21">
        <v>122.5</v>
      </c>
      <c r="F49" s="21">
        <v>121.7</v>
      </c>
      <c r="G49" s="21">
        <v>113.3</v>
      </c>
      <c r="H49" s="21">
        <v>117</v>
      </c>
      <c r="I49" s="21">
        <v>103.1</v>
      </c>
      <c r="J49" s="21">
        <v>126.7</v>
      </c>
      <c r="K49" s="21">
        <v>121.2</v>
      </c>
      <c r="L49" s="21">
        <v>111</v>
      </c>
      <c r="M49" s="21">
        <v>100.3</v>
      </c>
      <c r="N49" s="21">
        <v>115.3</v>
      </c>
      <c r="O49" s="21">
        <v>112.7</v>
      </c>
      <c r="P49" s="21">
        <v>121</v>
      </c>
      <c r="Q49" s="21">
        <v>118.2</v>
      </c>
      <c r="R49" s="21">
        <v>1504.0000000000002</v>
      </c>
      <c r="S49" s="21">
        <v>116.3</v>
      </c>
      <c r="T49" s="21">
        <v>112.5</v>
      </c>
      <c r="U49" s="21">
        <v>115.7</v>
      </c>
      <c r="V49" s="21">
        <v>344.5</v>
      </c>
      <c r="W49" s="21">
        <v>113.9</v>
      </c>
      <c r="X49" s="21">
        <v>113.4</v>
      </c>
      <c r="Y49" s="21">
        <v>227.3</v>
      </c>
      <c r="Z49" s="21">
        <v>111</v>
      </c>
      <c r="AA49" s="21">
        <v>109.1</v>
      </c>
      <c r="AB49" s="21">
        <f t="shared" si="1"/>
        <v>220.1</v>
      </c>
      <c r="AC49" s="21">
        <v>110.9</v>
      </c>
      <c r="AD49" s="21">
        <v>111.2</v>
      </c>
      <c r="AE49" s="21">
        <v>111.2</v>
      </c>
      <c r="AF49" s="21">
        <v>112.5</v>
      </c>
      <c r="AG49" s="21">
        <v>117.6</v>
      </c>
      <c r="AH49" s="21">
        <v>111.4</v>
      </c>
      <c r="AI49" s="21">
        <v>114.7</v>
      </c>
    </row>
    <row r="50" spans="1:35" x14ac:dyDescent="0.35">
      <c r="A50" s="21" t="s">
        <v>34</v>
      </c>
      <c r="B50" s="21">
        <v>2014</v>
      </c>
      <c r="C50" s="21" t="s">
        <v>37</v>
      </c>
      <c r="D50" s="17" t="str">
        <f t="shared" si="0"/>
        <v>April-2014</v>
      </c>
      <c r="E50" s="21">
        <v>120.9</v>
      </c>
      <c r="F50" s="21">
        <v>119.9</v>
      </c>
      <c r="G50" s="21">
        <v>116.2</v>
      </c>
      <c r="H50" s="21">
        <v>117</v>
      </c>
      <c r="I50" s="21">
        <v>107.3</v>
      </c>
      <c r="J50" s="21">
        <v>126.1</v>
      </c>
      <c r="K50" s="21">
        <v>120.7</v>
      </c>
      <c r="L50" s="21">
        <v>111</v>
      </c>
      <c r="M50" s="21">
        <v>101.8</v>
      </c>
      <c r="N50" s="21">
        <v>112.6</v>
      </c>
      <c r="O50" s="21">
        <v>113.2</v>
      </c>
      <c r="P50" s="21">
        <v>119.8</v>
      </c>
      <c r="Q50" s="21">
        <v>117.6</v>
      </c>
      <c r="R50" s="21">
        <v>1504.1</v>
      </c>
      <c r="S50" s="21">
        <v>117.4</v>
      </c>
      <c r="T50" s="21">
        <v>114.6</v>
      </c>
      <c r="U50" s="21">
        <v>117</v>
      </c>
      <c r="V50" s="21">
        <v>349</v>
      </c>
      <c r="W50" s="21">
        <v>113.9</v>
      </c>
      <c r="X50" s="21">
        <v>113.6</v>
      </c>
      <c r="Y50" s="21">
        <v>227.5</v>
      </c>
      <c r="Z50" s="21">
        <v>111.5</v>
      </c>
      <c r="AA50" s="21">
        <v>109</v>
      </c>
      <c r="AB50" s="21">
        <f t="shared" si="1"/>
        <v>220.5</v>
      </c>
      <c r="AC50" s="21">
        <v>112.5</v>
      </c>
      <c r="AD50" s="21">
        <v>111.2</v>
      </c>
      <c r="AE50" s="21">
        <v>110.9</v>
      </c>
      <c r="AF50" s="21">
        <v>112.7</v>
      </c>
      <c r="AG50" s="21">
        <v>116</v>
      </c>
      <c r="AH50" s="21">
        <v>111.5</v>
      </c>
      <c r="AI50" s="21">
        <v>115.1</v>
      </c>
    </row>
    <row r="51" spans="1:35" x14ac:dyDescent="0.35">
      <c r="A51" s="21" t="s">
        <v>30</v>
      </c>
      <c r="B51" s="21">
        <v>2014</v>
      </c>
      <c r="C51" s="21" t="s">
        <v>38</v>
      </c>
      <c r="D51" s="17" t="str">
        <f t="shared" si="0"/>
        <v>May-2014</v>
      </c>
      <c r="E51" s="21">
        <v>120.3</v>
      </c>
      <c r="F51" s="21">
        <v>120.2</v>
      </c>
      <c r="G51" s="21">
        <v>116.9</v>
      </c>
      <c r="H51" s="21">
        <v>118</v>
      </c>
      <c r="I51" s="21">
        <v>110.1</v>
      </c>
      <c r="J51" s="21">
        <v>126.3</v>
      </c>
      <c r="K51" s="21">
        <v>123.9</v>
      </c>
      <c r="L51" s="21">
        <v>111.5</v>
      </c>
      <c r="M51" s="21">
        <v>103.5</v>
      </c>
      <c r="N51" s="21">
        <v>111.6</v>
      </c>
      <c r="O51" s="21">
        <v>114.2</v>
      </c>
      <c r="P51" s="21">
        <v>119.2</v>
      </c>
      <c r="Q51" s="21">
        <v>118.2</v>
      </c>
      <c r="R51" s="21">
        <v>1513.8999999999999</v>
      </c>
      <c r="S51" s="21">
        <v>118.7</v>
      </c>
      <c r="T51" s="21">
        <v>116.8</v>
      </c>
      <c r="U51" s="21">
        <v>118.5</v>
      </c>
      <c r="V51" s="21">
        <v>354</v>
      </c>
      <c r="W51" s="21">
        <v>114.3</v>
      </c>
      <c r="X51" s="21">
        <v>114.1</v>
      </c>
      <c r="Y51" s="21">
        <v>228.39999999999998</v>
      </c>
      <c r="Z51" s="21">
        <v>112.1</v>
      </c>
      <c r="AA51" s="21">
        <v>108.9</v>
      </c>
      <c r="AB51" s="21">
        <f t="shared" si="1"/>
        <v>221</v>
      </c>
      <c r="AC51" s="21">
        <v>113.4</v>
      </c>
      <c r="AD51" s="21">
        <v>111.4</v>
      </c>
      <c r="AE51" s="21">
        <v>110.9</v>
      </c>
      <c r="AF51" s="21">
        <v>113.1</v>
      </c>
      <c r="AG51" s="21">
        <v>116.3</v>
      </c>
      <c r="AH51" s="21">
        <v>111.8</v>
      </c>
      <c r="AI51" s="21">
        <v>116</v>
      </c>
    </row>
    <row r="52" spans="1:35" x14ac:dyDescent="0.35">
      <c r="A52" s="21" t="s">
        <v>33</v>
      </c>
      <c r="B52" s="21">
        <v>2014</v>
      </c>
      <c r="C52" s="21" t="s">
        <v>38</v>
      </c>
      <c r="D52" s="17" t="str">
        <f t="shared" si="0"/>
        <v>May-2014</v>
      </c>
      <c r="E52" s="21">
        <v>122.7</v>
      </c>
      <c r="F52" s="21">
        <v>124.1</v>
      </c>
      <c r="G52" s="21">
        <v>114.2</v>
      </c>
      <c r="H52" s="21">
        <v>119.1</v>
      </c>
      <c r="I52" s="21">
        <v>103.5</v>
      </c>
      <c r="J52" s="21">
        <v>129.19999999999999</v>
      </c>
      <c r="K52" s="21">
        <v>127</v>
      </c>
      <c r="L52" s="21">
        <v>112.6</v>
      </c>
      <c r="M52" s="21">
        <v>101.3</v>
      </c>
      <c r="N52" s="21">
        <v>117</v>
      </c>
      <c r="O52" s="21">
        <v>112.9</v>
      </c>
      <c r="P52" s="21">
        <v>121.7</v>
      </c>
      <c r="Q52" s="21">
        <v>120</v>
      </c>
      <c r="R52" s="21">
        <v>1525.3000000000002</v>
      </c>
      <c r="S52" s="21">
        <v>116.8</v>
      </c>
      <c r="T52" s="21">
        <v>112.9</v>
      </c>
      <c r="U52" s="21">
        <v>116.2</v>
      </c>
      <c r="V52" s="21">
        <v>345.9</v>
      </c>
      <c r="W52" s="21">
        <v>114.3</v>
      </c>
      <c r="X52" s="21">
        <v>114.1</v>
      </c>
      <c r="Y52" s="21">
        <v>228.39999999999998</v>
      </c>
      <c r="Z52" s="21">
        <v>111.2</v>
      </c>
      <c r="AA52" s="21">
        <v>109.3</v>
      </c>
      <c r="AB52" s="21">
        <f t="shared" si="1"/>
        <v>220.5</v>
      </c>
      <c r="AC52" s="21">
        <v>111.1</v>
      </c>
      <c r="AD52" s="21">
        <v>111.3</v>
      </c>
      <c r="AE52" s="21">
        <v>111.5</v>
      </c>
      <c r="AF52" s="21">
        <v>112.9</v>
      </c>
      <c r="AG52" s="21">
        <v>118.3</v>
      </c>
      <c r="AH52" s="21">
        <v>111.7</v>
      </c>
      <c r="AI52" s="21">
        <v>115.6</v>
      </c>
    </row>
    <row r="53" spans="1:35" x14ac:dyDescent="0.35">
      <c r="A53" s="21" t="s">
        <v>34</v>
      </c>
      <c r="B53" s="21">
        <v>2014</v>
      </c>
      <c r="C53" s="21" t="s">
        <v>38</v>
      </c>
      <c r="D53" s="17" t="str">
        <f t="shared" si="0"/>
        <v>May-2014</v>
      </c>
      <c r="E53" s="21">
        <v>121.1</v>
      </c>
      <c r="F53" s="21">
        <v>121.6</v>
      </c>
      <c r="G53" s="21">
        <v>115.9</v>
      </c>
      <c r="H53" s="21">
        <v>118.4</v>
      </c>
      <c r="I53" s="21">
        <v>107.7</v>
      </c>
      <c r="J53" s="21">
        <v>127.7</v>
      </c>
      <c r="K53" s="21">
        <v>125</v>
      </c>
      <c r="L53" s="21">
        <v>111.9</v>
      </c>
      <c r="M53" s="21">
        <v>102.8</v>
      </c>
      <c r="N53" s="21">
        <v>113.4</v>
      </c>
      <c r="O53" s="21">
        <v>113.7</v>
      </c>
      <c r="P53" s="21">
        <v>120.4</v>
      </c>
      <c r="Q53" s="21">
        <v>118.9</v>
      </c>
      <c r="R53" s="21">
        <v>1518.5000000000005</v>
      </c>
      <c r="S53" s="21">
        <v>118</v>
      </c>
      <c r="T53" s="21">
        <v>115.2</v>
      </c>
      <c r="U53" s="21">
        <v>117.6</v>
      </c>
      <c r="V53" s="21">
        <v>350.79999999999995</v>
      </c>
      <c r="W53" s="21">
        <v>114.3</v>
      </c>
      <c r="X53" s="21">
        <v>114.1</v>
      </c>
      <c r="Y53" s="21">
        <v>228.39999999999998</v>
      </c>
      <c r="Z53" s="21">
        <v>111.8</v>
      </c>
      <c r="AA53" s="21">
        <v>109.1</v>
      </c>
      <c r="AB53" s="21">
        <f t="shared" si="1"/>
        <v>220.89999999999998</v>
      </c>
      <c r="AC53" s="21">
        <v>112.5</v>
      </c>
      <c r="AD53" s="21">
        <v>111.3</v>
      </c>
      <c r="AE53" s="21">
        <v>111.2</v>
      </c>
      <c r="AF53" s="21">
        <v>113</v>
      </c>
      <c r="AG53" s="21">
        <v>116.8</v>
      </c>
      <c r="AH53" s="21">
        <v>111.8</v>
      </c>
      <c r="AI53" s="21">
        <v>115.8</v>
      </c>
    </row>
    <row r="54" spans="1:35" x14ac:dyDescent="0.35">
      <c r="A54" s="21" t="s">
        <v>30</v>
      </c>
      <c r="B54" s="21">
        <v>2014</v>
      </c>
      <c r="C54" s="21" t="s">
        <v>39</v>
      </c>
      <c r="D54" s="17" t="str">
        <f t="shared" si="0"/>
        <v>June-2014</v>
      </c>
      <c r="E54" s="21">
        <v>120.7</v>
      </c>
      <c r="F54" s="21">
        <v>121.6</v>
      </c>
      <c r="G54" s="21">
        <v>116.1</v>
      </c>
      <c r="H54" s="21">
        <v>119.3</v>
      </c>
      <c r="I54" s="21">
        <v>110.3</v>
      </c>
      <c r="J54" s="21">
        <v>125.8</v>
      </c>
      <c r="K54" s="21">
        <v>129.30000000000001</v>
      </c>
      <c r="L54" s="21">
        <v>112.2</v>
      </c>
      <c r="M54" s="21">
        <v>103.6</v>
      </c>
      <c r="N54" s="21">
        <v>112.3</v>
      </c>
      <c r="O54" s="21">
        <v>114.9</v>
      </c>
      <c r="P54" s="21">
        <v>120.1</v>
      </c>
      <c r="Q54" s="21">
        <v>119.5</v>
      </c>
      <c r="R54" s="21">
        <v>1525.6999999999998</v>
      </c>
      <c r="S54" s="21">
        <v>119.7</v>
      </c>
      <c r="T54" s="21">
        <v>117.3</v>
      </c>
      <c r="U54" s="21">
        <v>119.3</v>
      </c>
      <c r="V54" s="21">
        <v>356.3</v>
      </c>
      <c r="W54" s="21">
        <v>113.9</v>
      </c>
      <c r="X54" s="21">
        <v>114.9</v>
      </c>
      <c r="Y54" s="21">
        <v>228.8</v>
      </c>
      <c r="Z54" s="21">
        <v>112.8</v>
      </c>
      <c r="AA54" s="21">
        <v>108</v>
      </c>
      <c r="AB54" s="21">
        <f t="shared" si="1"/>
        <v>220.8</v>
      </c>
      <c r="AC54" s="21">
        <v>114.4</v>
      </c>
      <c r="AD54" s="21">
        <v>112.2</v>
      </c>
      <c r="AE54" s="21">
        <v>111.4</v>
      </c>
      <c r="AF54" s="21">
        <v>114.3</v>
      </c>
      <c r="AG54" s="21">
        <v>117.3</v>
      </c>
      <c r="AH54" s="21">
        <v>112.3</v>
      </c>
      <c r="AI54" s="21">
        <v>117</v>
      </c>
    </row>
    <row r="55" spans="1:35" x14ac:dyDescent="0.35">
      <c r="A55" s="21" t="s">
        <v>33</v>
      </c>
      <c r="B55" s="21">
        <v>2014</v>
      </c>
      <c r="C55" s="21" t="s">
        <v>39</v>
      </c>
      <c r="D55" s="17" t="str">
        <f t="shared" si="0"/>
        <v>June-2014</v>
      </c>
      <c r="E55" s="21">
        <v>123.1</v>
      </c>
      <c r="F55" s="21">
        <v>125.9</v>
      </c>
      <c r="G55" s="21">
        <v>115.4</v>
      </c>
      <c r="H55" s="21">
        <v>120.4</v>
      </c>
      <c r="I55" s="21">
        <v>103.4</v>
      </c>
      <c r="J55" s="21">
        <v>131.19999999999999</v>
      </c>
      <c r="K55" s="21">
        <v>137.5</v>
      </c>
      <c r="L55" s="21">
        <v>112.8</v>
      </c>
      <c r="M55" s="21">
        <v>101.4</v>
      </c>
      <c r="N55" s="21">
        <v>118.3</v>
      </c>
      <c r="O55" s="21">
        <v>113.2</v>
      </c>
      <c r="P55" s="21">
        <v>122.4</v>
      </c>
      <c r="Q55" s="21">
        <v>122</v>
      </c>
      <c r="R55" s="21">
        <v>1547</v>
      </c>
      <c r="S55" s="21">
        <v>117.4</v>
      </c>
      <c r="T55" s="21">
        <v>113.2</v>
      </c>
      <c r="U55" s="21">
        <v>116.7</v>
      </c>
      <c r="V55" s="21">
        <v>347.3</v>
      </c>
      <c r="W55" s="21">
        <v>113.9</v>
      </c>
      <c r="X55" s="21">
        <v>114.3</v>
      </c>
      <c r="Y55" s="21">
        <v>228.2</v>
      </c>
      <c r="Z55" s="21">
        <v>111.4</v>
      </c>
      <c r="AA55" s="21">
        <v>108.7</v>
      </c>
      <c r="AB55" s="21">
        <f t="shared" si="1"/>
        <v>220.10000000000002</v>
      </c>
      <c r="AC55" s="21">
        <v>111.2</v>
      </c>
      <c r="AD55" s="21">
        <v>111.5</v>
      </c>
      <c r="AE55" s="21">
        <v>111.8</v>
      </c>
      <c r="AF55" s="21">
        <v>115.1</v>
      </c>
      <c r="AG55" s="21">
        <v>119</v>
      </c>
      <c r="AH55" s="21">
        <v>112.2</v>
      </c>
      <c r="AI55" s="21">
        <v>116.4</v>
      </c>
    </row>
    <row r="56" spans="1:35" x14ac:dyDescent="0.35">
      <c r="A56" s="21" t="s">
        <v>34</v>
      </c>
      <c r="B56" s="21">
        <v>2014</v>
      </c>
      <c r="C56" s="21" t="s">
        <v>39</v>
      </c>
      <c r="D56" s="17" t="str">
        <f t="shared" si="0"/>
        <v>June-2014</v>
      </c>
      <c r="E56" s="21">
        <v>121.5</v>
      </c>
      <c r="F56" s="21">
        <v>123.1</v>
      </c>
      <c r="G56" s="21">
        <v>115.8</v>
      </c>
      <c r="H56" s="21">
        <v>119.7</v>
      </c>
      <c r="I56" s="21">
        <v>107.8</v>
      </c>
      <c r="J56" s="21">
        <v>128.30000000000001</v>
      </c>
      <c r="K56" s="21">
        <v>132.1</v>
      </c>
      <c r="L56" s="21">
        <v>112.4</v>
      </c>
      <c r="M56" s="21">
        <v>102.9</v>
      </c>
      <c r="N56" s="21">
        <v>114.3</v>
      </c>
      <c r="O56" s="21">
        <v>114.2</v>
      </c>
      <c r="P56" s="21">
        <v>121.2</v>
      </c>
      <c r="Q56" s="21">
        <v>120.4</v>
      </c>
      <c r="R56" s="21">
        <v>1533.7000000000003</v>
      </c>
      <c r="S56" s="21">
        <v>118.8</v>
      </c>
      <c r="T56" s="21">
        <v>115.6</v>
      </c>
      <c r="U56" s="21">
        <v>118.3</v>
      </c>
      <c r="V56" s="21">
        <v>352.7</v>
      </c>
      <c r="W56" s="21">
        <v>113.9</v>
      </c>
      <c r="X56" s="21">
        <v>114.6</v>
      </c>
      <c r="Y56" s="21">
        <v>228.5</v>
      </c>
      <c r="Z56" s="21">
        <v>112.3</v>
      </c>
      <c r="AA56" s="21">
        <v>108.3</v>
      </c>
      <c r="AB56" s="21">
        <f t="shared" si="1"/>
        <v>220.6</v>
      </c>
      <c r="AC56" s="21">
        <v>113.2</v>
      </c>
      <c r="AD56" s="21">
        <v>111.8</v>
      </c>
      <c r="AE56" s="21">
        <v>111.6</v>
      </c>
      <c r="AF56" s="21">
        <v>114.8</v>
      </c>
      <c r="AG56" s="21">
        <v>117.8</v>
      </c>
      <c r="AH56" s="21">
        <v>112.3</v>
      </c>
      <c r="AI56" s="21">
        <v>116.7</v>
      </c>
    </row>
    <row r="57" spans="1:35" x14ac:dyDescent="0.35">
      <c r="A57" s="21" t="s">
        <v>30</v>
      </c>
      <c r="B57" s="21">
        <v>2014</v>
      </c>
      <c r="C57" s="21" t="s">
        <v>40</v>
      </c>
      <c r="D57" s="17" t="str">
        <f t="shared" si="0"/>
        <v>July-2014</v>
      </c>
      <c r="E57" s="21">
        <v>121.7</v>
      </c>
      <c r="F57" s="21">
        <v>122.5</v>
      </c>
      <c r="G57" s="21">
        <v>117.7</v>
      </c>
      <c r="H57" s="21">
        <v>120.6</v>
      </c>
      <c r="I57" s="21">
        <v>110.4</v>
      </c>
      <c r="J57" s="21">
        <v>129.1</v>
      </c>
      <c r="K57" s="21">
        <v>150.1</v>
      </c>
      <c r="L57" s="21">
        <v>113.2</v>
      </c>
      <c r="M57" s="21">
        <v>104.8</v>
      </c>
      <c r="N57" s="21">
        <v>113.3</v>
      </c>
      <c r="O57" s="21">
        <v>115.6</v>
      </c>
      <c r="P57" s="21">
        <v>120.9</v>
      </c>
      <c r="Q57" s="21">
        <v>123.3</v>
      </c>
      <c r="R57" s="21">
        <v>1563.2</v>
      </c>
      <c r="S57" s="21">
        <v>120.7</v>
      </c>
      <c r="T57" s="21">
        <v>118.3</v>
      </c>
      <c r="U57" s="21">
        <v>120.3</v>
      </c>
      <c r="V57" s="21">
        <v>359.3</v>
      </c>
      <c r="W57" s="21">
        <v>114.8</v>
      </c>
      <c r="X57" s="21">
        <v>115.4</v>
      </c>
      <c r="Y57" s="21">
        <v>230.2</v>
      </c>
      <c r="Z57" s="21">
        <v>113.4</v>
      </c>
      <c r="AA57" s="21">
        <v>108.8</v>
      </c>
      <c r="AB57" s="21">
        <f t="shared" si="1"/>
        <v>222.2</v>
      </c>
      <c r="AC57" s="21">
        <v>115.3</v>
      </c>
      <c r="AD57" s="21">
        <v>113.2</v>
      </c>
      <c r="AE57" s="21">
        <v>111.8</v>
      </c>
      <c r="AF57" s="21">
        <v>115.5</v>
      </c>
      <c r="AG57" s="21">
        <v>118</v>
      </c>
      <c r="AH57" s="21">
        <v>113.1</v>
      </c>
      <c r="AI57" s="21">
        <v>119.5</v>
      </c>
    </row>
    <row r="58" spans="1:35" x14ac:dyDescent="0.35">
      <c r="A58" s="21" t="s">
        <v>33</v>
      </c>
      <c r="B58" s="21">
        <v>2014</v>
      </c>
      <c r="C58" s="21" t="s">
        <v>40</v>
      </c>
      <c r="D58" s="17" t="str">
        <f t="shared" si="0"/>
        <v>July-2014</v>
      </c>
      <c r="E58" s="21">
        <v>123.8</v>
      </c>
      <c r="F58" s="21">
        <v>126.4</v>
      </c>
      <c r="G58" s="21">
        <v>118</v>
      </c>
      <c r="H58" s="21">
        <v>121.6</v>
      </c>
      <c r="I58" s="21">
        <v>103.5</v>
      </c>
      <c r="J58" s="21">
        <v>133.69999999999999</v>
      </c>
      <c r="K58" s="21">
        <v>172.4</v>
      </c>
      <c r="L58" s="21">
        <v>113.1</v>
      </c>
      <c r="M58" s="21">
        <v>102.7</v>
      </c>
      <c r="N58" s="21">
        <v>120</v>
      </c>
      <c r="O58" s="21">
        <v>113.8</v>
      </c>
      <c r="P58" s="21">
        <v>123.4</v>
      </c>
      <c r="Q58" s="21">
        <v>127.1</v>
      </c>
      <c r="R58" s="21">
        <v>1599.5</v>
      </c>
      <c r="S58" s="21">
        <v>118</v>
      </c>
      <c r="T58" s="21">
        <v>113.6</v>
      </c>
      <c r="U58" s="21">
        <v>117.4</v>
      </c>
      <c r="V58" s="21">
        <v>349</v>
      </c>
      <c r="W58" s="21">
        <v>114.8</v>
      </c>
      <c r="X58" s="21">
        <v>114.9</v>
      </c>
      <c r="Y58" s="21">
        <v>229.7</v>
      </c>
      <c r="Z58" s="21">
        <v>111.5</v>
      </c>
      <c r="AA58" s="21">
        <v>109.7</v>
      </c>
      <c r="AB58" s="21">
        <f t="shared" si="1"/>
        <v>221.2</v>
      </c>
      <c r="AC58" s="21">
        <v>111.6</v>
      </c>
      <c r="AD58" s="21">
        <v>113</v>
      </c>
      <c r="AE58" s="21">
        <v>112.4</v>
      </c>
      <c r="AF58" s="21">
        <v>117.8</v>
      </c>
      <c r="AG58" s="21">
        <v>121</v>
      </c>
      <c r="AH58" s="21">
        <v>113.5</v>
      </c>
      <c r="AI58" s="21">
        <v>118.9</v>
      </c>
    </row>
    <row r="59" spans="1:35" x14ac:dyDescent="0.35">
      <c r="A59" s="21" t="s">
        <v>34</v>
      </c>
      <c r="B59" s="21">
        <v>2014</v>
      </c>
      <c r="C59" s="21" t="s">
        <v>40</v>
      </c>
      <c r="D59" s="17" t="str">
        <f t="shared" si="0"/>
        <v>July-2014</v>
      </c>
      <c r="E59" s="21">
        <v>122.4</v>
      </c>
      <c r="F59" s="21">
        <v>123.9</v>
      </c>
      <c r="G59" s="21">
        <v>117.8</v>
      </c>
      <c r="H59" s="21">
        <v>121</v>
      </c>
      <c r="I59" s="21">
        <v>107.9</v>
      </c>
      <c r="J59" s="21">
        <v>131.19999999999999</v>
      </c>
      <c r="K59" s="21">
        <v>157.69999999999999</v>
      </c>
      <c r="L59" s="21">
        <v>113.2</v>
      </c>
      <c r="M59" s="21">
        <v>104.1</v>
      </c>
      <c r="N59" s="21">
        <v>115.5</v>
      </c>
      <c r="O59" s="21">
        <v>114.8</v>
      </c>
      <c r="P59" s="21">
        <v>122.1</v>
      </c>
      <c r="Q59" s="21">
        <v>124.7</v>
      </c>
      <c r="R59" s="21">
        <v>1576.3</v>
      </c>
      <c r="S59" s="21">
        <v>119.6</v>
      </c>
      <c r="T59" s="21">
        <v>116.3</v>
      </c>
      <c r="U59" s="21">
        <v>119.1</v>
      </c>
      <c r="V59" s="21">
        <v>355</v>
      </c>
      <c r="W59" s="21">
        <v>114.8</v>
      </c>
      <c r="X59" s="21">
        <v>115.2</v>
      </c>
      <c r="Y59" s="21">
        <v>230</v>
      </c>
      <c r="Z59" s="21">
        <v>112.7</v>
      </c>
      <c r="AA59" s="21">
        <v>109.2</v>
      </c>
      <c r="AB59" s="21">
        <f t="shared" si="1"/>
        <v>221.9</v>
      </c>
      <c r="AC59" s="21">
        <v>113.9</v>
      </c>
      <c r="AD59" s="21">
        <v>113.1</v>
      </c>
      <c r="AE59" s="21">
        <v>112.1</v>
      </c>
      <c r="AF59" s="21">
        <v>116.8</v>
      </c>
      <c r="AG59" s="21">
        <v>118.8</v>
      </c>
      <c r="AH59" s="21">
        <v>113.3</v>
      </c>
      <c r="AI59" s="21">
        <v>119.2</v>
      </c>
    </row>
    <row r="60" spans="1:35" x14ac:dyDescent="0.35">
      <c r="A60" s="21" t="s">
        <v>30</v>
      </c>
      <c r="B60" s="21">
        <v>2014</v>
      </c>
      <c r="C60" s="21" t="s">
        <v>41</v>
      </c>
      <c r="D60" s="17" t="str">
        <f t="shared" si="0"/>
        <v>August-2014</v>
      </c>
      <c r="E60" s="21">
        <v>121.8</v>
      </c>
      <c r="F60" s="21">
        <v>122.8</v>
      </c>
      <c r="G60" s="21">
        <v>117.8</v>
      </c>
      <c r="H60" s="21">
        <v>121.9</v>
      </c>
      <c r="I60" s="21">
        <v>110.6</v>
      </c>
      <c r="J60" s="21">
        <v>129.69999999999999</v>
      </c>
      <c r="K60" s="21">
        <v>161.1</v>
      </c>
      <c r="L60" s="21">
        <v>114.1</v>
      </c>
      <c r="M60" s="21">
        <v>105.1</v>
      </c>
      <c r="N60" s="21">
        <v>114.6</v>
      </c>
      <c r="O60" s="21">
        <v>115.8</v>
      </c>
      <c r="P60" s="21">
        <v>121.7</v>
      </c>
      <c r="Q60" s="21">
        <v>125.3</v>
      </c>
      <c r="R60" s="21">
        <v>1582.2999999999997</v>
      </c>
      <c r="S60" s="21">
        <v>120.9</v>
      </c>
      <c r="T60" s="21">
        <v>118.8</v>
      </c>
      <c r="U60" s="21">
        <v>120.7</v>
      </c>
      <c r="V60" s="21">
        <v>360.4</v>
      </c>
      <c r="W60" s="21">
        <v>115.5</v>
      </c>
      <c r="X60" s="21">
        <v>115.9</v>
      </c>
      <c r="Y60" s="21">
        <v>231.4</v>
      </c>
      <c r="Z60" s="21">
        <v>114</v>
      </c>
      <c r="AA60" s="21">
        <v>109.4</v>
      </c>
      <c r="AB60" s="21">
        <f t="shared" si="1"/>
        <v>223.4</v>
      </c>
      <c r="AC60" s="21">
        <v>115.4</v>
      </c>
      <c r="AD60" s="21">
        <v>113.2</v>
      </c>
      <c r="AE60" s="21">
        <v>112.2</v>
      </c>
      <c r="AF60" s="21">
        <v>116.2</v>
      </c>
      <c r="AG60" s="21">
        <v>118.8</v>
      </c>
      <c r="AH60" s="21">
        <v>113.5</v>
      </c>
      <c r="AI60" s="21">
        <v>120.7</v>
      </c>
    </row>
    <row r="61" spans="1:35" x14ac:dyDescent="0.35">
      <c r="A61" s="21" t="s">
        <v>33</v>
      </c>
      <c r="B61" s="21">
        <v>2014</v>
      </c>
      <c r="C61" s="21" t="s">
        <v>41</v>
      </c>
      <c r="D61" s="17" t="str">
        <f t="shared" si="0"/>
        <v>August-2014</v>
      </c>
      <c r="E61" s="21">
        <v>124.8</v>
      </c>
      <c r="F61" s="21">
        <v>127.3</v>
      </c>
      <c r="G61" s="21">
        <v>116.5</v>
      </c>
      <c r="H61" s="21">
        <v>122.2</v>
      </c>
      <c r="I61" s="21">
        <v>103.6</v>
      </c>
      <c r="J61" s="21">
        <v>132.69999999999999</v>
      </c>
      <c r="K61" s="21">
        <v>181.9</v>
      </c>
      <c r="L61" s="21">
        <v>115.2</v>
      </c>
      <c r="M61" s="21">
        <v>102.7</v>
      </c>
      <c r="N61" s="21">
        <v>122.1</v>
      </c>
      <c r="O61" s="21">
        <v>114.4</v>
      </c>
      <c r="P61" s="21">
        <v>124.7</v>
      </c>
      <c r="Q61" s="21">
        <v>128.9</v>
      </c>
      <c r="R61" s="21">
        <v>1617</v>
      </c>
      <c r="S61" s="21">
        <v>118.6</v>
      </c>
      <c r="T61" s="21">
        <v>114.1</v>
      </c>
      <c r="U61" s="21">
        <v>117.9</v>
      </c>
      <c r="V61" s="21">
        <v>350.6</v>
      </c>
      <c r="W61" s="21">
        <v>115.5</v>
      </c>
      <c r="X61" s="21">
        <v>115.3</v>
      </c>
      <c r="Y61" s="21">
        <v>230.8</v>
      </c>
      <c r="Z61" s="21">
        <v>112.2</v>
      </c>
      <c r="AA61" s="21">
        <v>110.5</v>
      </c>
      <c r="AB61" s="21">
        <f t="shared" si="1"/>
        <v>222.7</v>
      </c>
      <c r="AC61" s="21">
        <v>111.8</v>
      </c>
      <c r="AD61" s="21">
        <v>112.5</v>
      </c>
      <c r="AE61" s="21">
        <v>112.9</v>
      </c>
      <c r="AF61" s="21">
        <v>119.2</v>
      </c>
      <c r="AG61" s="21">
        <v>123</v>
      </c>
      <c r="AH61" s="21">
        <v>113.9</v>
      </c>
      <c r="AI61" s="21">
        <v>119.9</v>
      </c>
    </row>
    <row r="62" spans="1:35" x14ac:dyDescent="0.35">
      <c r="A62" s="21" t="s">
        <v>34</v>
      </c>
      <c r="B62" s="21">
        <v>2014</v>
      </c>
      <c r="C62" s="21" t="s">
        <v>41</v>
      </c>
      <c r="D62" s="17" t="str">
        <f t="shared" si="0"/>
        <v>August-2014</v>
      </c>
      <c r="E62" s="21">
        <v>122.7</v>
      </c>
      <c r="F62" s="21">
        <v>124.4</v>
      </c>
      <c r="G62" s="21">
        <v>117.3</v>
      </c>
      <c r="H62" s="21">
        <v>122</v>
      </c>
      <c r="I62" s="21">
        <v>108</v>
      </c>
      <c r="J62" s="21">
        <v>131.1</v>
      </c>
      <c r="K62" s="21">
        <v>168.2</v>
      </c>
      <c r="L62" s="21">
        <v>114.5</v>
      </c>
      <c r="M62" s="21">
        <v>104.3</v>
      </c>
      <c r="N62" s="21">
        <v>117.1</v>
      </c>
      <c r="O62" s="21">
        <v>115.2</v>
      </c>
      <c r="P62" s="21">
        <v>123.1</v>
      </c>
      <c r="Q62" s="21">
        <v>126.6</v>
      </c>
      <c r="R62" s="21">
        <v>1594.4999999999998</v>
      </c>
      <c r="S62" s="21">
        <v>120</v>
      </c>
      <c r="T62" s="21">
        <v>116.8</v>
      </c>
      <c r="U62" s="21">
        <v>119.6</v>
      </c>
      <c r="V62" s="21">
        <v>356.4</v>
      </c>
      <c r="W62" s="21">
        <v>115.5</v>
      </c>
      <c r="X62" s="21">
        <v>115.6</v>
      </c>
      <c r="Y62" s="21">
        <v>231.1</v>
      </c>
      <c r="Z62" s="21">
        <v>113.3</v>
      </c>
      <c r="AA62" s="21">
        <v>109.9</v>
      </c>
      <c r="AB62" s="21">
        <f t="shared" si="1"/>
        <v>223.2</v>
      </c>
      <c r="AC62" s="21">
        <v>114</v>
      </c>
      <c r="AD62" s="21">
        <v>112.8</v>
      </c>
      <c r="AE62" s="21">
        <v>112.6</v>
      </c>
      <c r="AF62" s="21">
        <v>118</v>
      </c>
      <c r="AG62" s="21">
        <v>119.9</v>
      </c>
      <c r="AH62" s="21">
        <v>113.7</v>
      </c>
      <c r="AI62" s="21">
        <v>120.3</v>
      </c>
    </row>
    <row r="63" spans="1:35" x14ac:dyDescent="0.35">
      <c r="A63" s="21" t="s">
        <v>30</v>
      </c>
      <c r="B63" s="21">
        <v>2014</v>
      </c>
      <c r="C63" s="21" t="s">
        <v>42</v>
      </c>
      <c r="D63" s="17" t="str">
        <f t="shared" si="0"/>
        <v>September-2014</v>
      </c>
      <c r="E63" s="21">
        <v>122.3</v>
      </c>
      <c r="F63" s="21">
        <v>122.4</v>
      </c>
      <c r="G63" s="21">
        <v>117.8</v>
      </c>
      <c r="H63" s="21">
        <v>122.7</v>
      </c>
      <c r="I63" s="21">
        <v>110.4</v>
      </c>
      <c r="J63" s="21">
        <v>129.80000000000001</v>
      </c>
      <c r="K63" s="21">
        <v>158.80000000000001</v>
      </c>
      <c r="L63" s="21">
        <v>115</v>
      </c>
      <c r="M63" s="21">
        <v>104.7</v>
      </c>
      <c r="N63" s="21">
        <v>114.9</v>
      </c>
      <c r="O63" s="21">
        <v>116.5</v>
      </c>
      <c r="P63" s="21">
        <v>122.6</v>
      </c>
      <c r="Q63" s="21">
        <v>125.3</v>
      </c>
      <c r="R63" s="21">
        <v>1583.2</v>
      </c>
      <c r="S63" s="21">
        <v>121.7</v>
      </c>
      <c r="T63" s="21">
        <v>119.2</v>
      </c>
      <c r="U63" s="21">
        <v>121.3</v>
      </c>
      <c r="V63" s="21">
        <v>362.2</v>
      </c>
      <c r="W63" s="21">
        <v>116.1</v>
      </c>
      <c r="X63" s="21">
        <v>116.7</v>
      </c>
      <c r="Y63" s="21">
        <v>232.8</v>
      </c>
      <c r="Z63" s="21">
        <v>114.5</v>
      </c>
      <c r="AA63" s="21">
        <v>109.1</v>
      </c>
      <c r="AB63" s="21">
        <f t="shared" si="1"/>
        <v>223.6</v>
      </c>
      <c r="AC63" s="21">
        <v>115.8</v>
      </c>
      <c r="AD63" s="21">
        <v>112.8</v>
      </c>
      <c r="AE63" s="21">
        <v>112.6</v>
      </c>
      <c r="AF63" s="21">
        <v>116.6</v>
      </c>
      <c r="AG63" s="21">
        <v>119.5</v>
      </c>
      <c r="AH63" s="21">
        <v>113.7</v>
      </c>
      <c r="AI63" s="21">
        <v>120.9</v>
      </c>
    </row>
    <row r="64" spans="1:35" x14ac:dyDescent="0.35">
      <c r="A64" s="21" t="s">
        <v>33</v>
      </c>
      <c r="B64" s="21">
        <v>2014</v>
      </c>
      <c r="C64" s="21" t="s">
        <v>42</v>
      </c>
      <c r="D64" s="17" t="str">
        <f t="shared" si="0"/>
        <v>September-2014</v>
      </c>
      <c r="E64" s="21">
        <v>124.2</v>
      </c>
      <c r="F64" s="21">
        <v>125.4</v>
      </c>
      <c r="G64" s="21">
        <v>116.4</v>
      </c>
      <c r="H64" s="21">
        <v>122.7</v>
      </c>
      <c r="I64" s="21">
        <v>103.5</v>
      </c>
      <c r="J64" s="21">
        <v>124.5</v>
      </c>
      <c r="K64" s="21">
        <v>168.6</v>
      </c>
      <c r="L64" s="21">
        <v>116.9</v>
      </c>
      <c r="M64" s="21">
        <v>101.9</v>
      </c>
      <c r="N64" s="21">
        <v>122.9</v>
      </c>
      <c r="O64" s="21">
        <v>114.8</v>
      </c>
      <c r="P64" s="21">
        <v>125.2</v>
      </c>
      <c r="Q64" s="21">
        <v>126.7</v>
      </c>
      <c r="R64" s="21">
        <v>1593.7000000000003</v>
      </c>
      <c r="S64" s="21">
        <v>119.2</v>
      </c>
      <c r="T64" s="21">
        <v>114.5</v>
      </c>
      <c r="U64" s="21">
        <v>118.4</v>
      </c>
      <c r="V64" s="21">
        <v>352.1</v>
      </c>
      <c r="W64" s="21">
        <v>116.1</v>
      </c>
      <c r="X64" s="21">
        <v>115.5</v>
      </c>
      <c r="Y64" s="21">
        <v>231.6</v>
      </c>
      <c r="Z64" s="21">
        <v>112.3</v>
      </c>
      <c r="AA64" s="21">
        <v>110</v>
      </c>
      <c r="AB64" s="21">
        <f t="shared" si="1"/>
        <v>222.3</v>
      </c>
      <c r="AC64" s="21">
        <v>111.8</v>
      </c>
      <c r="AD64" s="21">
        <v>111.2</v>
      </c>
      <c r="AE64" s="21">
        <v>113.4</v>
      </c>
      <c r="AF64" s="21">
        <v>120</v>
      </c>
      <c r="AG64" s="21">
        <v>124.3</v>
      </c>
      <c r="AH64" s="21">
        <v>113.6</v>
      </c>
      <c r="AI64" s="21">
        <v>119.2</v>
      </c>
    </row>
    <row r="65" spans="1:35" x14ac:dyDescent="0.35">
      <c r="A65" s="21" t="s">
        <v>34</v>
      </c>
      <c r="B65" s="21">
        <v>2014</v>
      </c>
      <c r="C65" s="21" t="s">
        <v>42</v>
      </c>
      <c r="D65" s="17" t="str">
        <f t="shared" si="0"/>
        <v>September-2014</v>
      </c>
      <c r="E65" s="21">
        <v>122.9</v>
      </c>
      <c r="F65" s="21">
        <v>123.5</v>
      </c>
      <c r="G65" s="21">
        <v>117.3</v>
      </c>
      <c r="H65" s="21">
        <v>122.7</v>
      </c>
      <c r="I65" s="21">
        <v>107.9</v>
      </c>
      <c r="J65" s="21">
        <v>127.3</v>
      </c>
      <c r="K65" s="21">
        <v>162.1</v>
      </c>
      <c r="L65" s="21">
        <v>115.6</v>
      </c>
      <c r="M65" s="21">
        <v>103.8</v>
      </c>
      <c r="N65" s="21">
        <v>117.6</v>
      </c>
      <c r="O65" s="21">
        <v>115.8</v>
      </c>
      <c r="P65" s="21">
        <v>123.8</v>
      </c>
      <c r="Q65" s="21">
        <v>125.8</v>
      </c>
      <c r="R65" s="21">
        <v>1586.0999999999997</v>
      </c>
      <c r="S65" s="21">
        <v>120.7</v>
      </c>
      <c r="T65" s="21">
        <v>117.2</v>
      </c>
      <c r="U65" s="21">
        <v>120.1</v>
      </c>
      <c r="V65" s="21">
        <v>358</v>
      </c>
      <c r="W65" s="21">
        <v>116.1</v>
      </c>
      <c r="X65" s="21">
        <v>116.1</v>
      </c>
      <c r="Y65" s="21">
        <v>232.2</v>
      </c>
      <c r="Z65" s="21">
        <v>113.7</v>
      </c>
      <c r="AA65" s="21">
        <v>109.5</v>
      </c>
      <c r="AB65" s="21">
        <f t="shared" si="1"/>
        <v>223.2</v>
      </c>
      <c r="AC65" s="21">
        <v>114.3</v>
      </c>
      <c r="AD65" s="21">
        <v>112</v>
      </c>
      <c r="AE65" s="21">
        <v>113.1</v>
      </c>
      <c r="AF65" s="21">
        <v>118.6</v>
      </c>
      <c r="AG65" s="21">
        <v>120.8</v>
      </c>
      <c r="AH65" s="21">
        <v>113.7</v>
      </c>
      <c r="AI65" s="21">
        <v>120.1</v>
      </c>
    </row>
    <row r="66" spans="1:35" x14ac:dyDescent="0.35">
      <c r="A66" s="21" t="s">
        <v>30</v>
      </c>
      <c r="B66" s="21">
        <v>2014</v>
      </c>
      <c r="C66" s="21" t="s">
        <v>43</v>
      </c>
      <c r="D66" s="17" t="str">
        <f t="shared" si="0"/>
        <v>October-2014</v>
      </c>
      <c r="E66" s="21">
        <v>122.6</v>
      </c>
      <c r="F66" s="21">
        <v>122.5</v>
      </c>
      <c r="G66" s="21">
        <v>118.3</v>
      </c>
      <c r="H66" s="21">
        <v>123.2</v>
      </c>
      <c r="I66" s="21">
        <v>110.5</v>
      </c>
      <c r="J66" s="21">
        <v>128.9</v>
      </c>
      <c r="K66" s="21">
        <v>155.30000000000001</v>
      </c>
      <c r="L66" s="21">
        <v>115.5</v>
      </c>
      <c r="M66" s="21">
        <v>104</v>
      </c>
      <c r="N66" s="21">
        <v>115.3</v>
      </c>
      <c r="O66" s="21">
        <v>116.8</v>
      </c>
      <c r="P66" s="21">
        <v>123.2</v>
      </c>
      <c r="Q66" s="21">
        <v>125.1</v>
      </c>
      <c r="R66" s="21">
        <v>1581.1999999999998</v>
      </c>
      <c r="S66" s="21">
        <v>122.7</v>
      </c>
      <c r="T66" s="21">
        <v>120.3</v>
      </c>
      <c r="U66" s="21">
        <v>122.3</v>
      </c>
      <c r="V66" s="21">
        <v>365.3</v>
      </c>
      <c r="W66" s="21">
        <v>116.7</v>
      </c>
      <c r="X66" s="21">
        <v>117.5</v>
      </c>
      <c r="Y66" s="21">
        <v>234.2</v>
      </c>
      <c r="Z66" s="21">
        <v>115.3</v>
      </c>
      <c r="AA66" s="21">
        <v>109.3</v>
      </c>
      <c r="AB66" s="21">
        <f t="shared" si="1"/>
        <v>224.6</v>
      </c>
      <c r="AC66" s="21">
        <v>116.4</v>
      </c>
      <c r="AD66" s="21">
        <v>112.6</v>
      </c>
      <c r="AE66" s="21">
        <v>113</v>
      </c>
      <c r="AF66" s="21">
        <v>116.9</v>
      </c>
      <c r="AG66" s="21">
        <v>120</v>
      </c>
      <c r="AH66" s="21">
        <v>114</v>
      </c>
      <c r="AI66" s="21">
        <v>121</v>
      </c>
    </row>
    <row r="67" spans="1:35" x14ac:dyDescent="0.35">
      <c r="A67" s="21" t="s">
        <v>33</v>
      </c>
      <c r="B67" s="21">
        <v>2014</v>
      </c>
      <c r="C67" s="21" t="s">
        <v>43</v>
      </c>
      <c r="D67" s="17" t="str">
        <f t="shared" si="0"/>
        <v>October-2014</v>
      </c>
      <c r="E67" s="21">
        <v>124.6</v>
      </c>
      <c r="F67" s="21">
        <v>126.1</v>
      </c>
      <c r="G67" s="21">
        <v>117.8</v>
      </c>
      <c r="H67" s="21">
        <v>123.1</v>
      </c>
      <c r="I67" s="21">
        <v>103.5</v>
      </c>
      <c r="J67" s="21">
        <v>123.5</v>
      </c>
      <c r="K67" s="21">
        <v>159.6</v>
      </c>
      <c r="L67" s="21">
        <v>117.4</v>
      </c>
      <c r="M67" s="21">
        <v>101.2</v>
      </c>
      <c r="N67" s="21">
        <v>123.8</v>
      </c>
      <c r="O67" s="21">
        <v>115.2</v>
      </c>
      <c r="P67" s="21">
        <v>125.9</v>
      </c>
      <c r="Q67" s="21">
        <v>125.8</v>
      </c>
      <c r="R67" s="21">
        <v>1587.5</v>
      </c>
      <c r="S67" s="21">
        <v>119.6</v>
      </c>
      <c r="T67" s="21">
        <v>114.9</v>
      </c>
      <c r="U67" s="21">
        <v>118.9</v>
      </c>
      <c r="V67" s="21">
        <v>353.4</v>
      </c>
      <c r="W67" s="21">
        <v>116.7</v>
      </c>
      <c r="X67" s="21">
        <v>115.8</v>
      </c>
      <c r="Y67" s="21">
        <v>232.5</v>
      </c>
      <c r="Z67" s="21">
        <v>112.6</v>
      </c>
      <c r="AA67" s="21">
        <v>110.1</v>
      </c>
      <c r="AB67" s="21">
        <f t="shared" si="1"/>
        <v>222.7</v>
      </c>
      <c r="AC67" s="21">
        <v>112</v>
      </c>
      <c r="AD67" s="21">
        <v>111</v>
      </c>
      <c r="AE67" s="21">
        <v>113.6</v>
      </c>
      <c r="AF67" s="21">
        <v>120.2</v>
      </c>
      <c r="AG67" s="21">
        <v>124.3</v>
      </c>
      <c r="AH67" s="21">
        <v>113.7</v>
      </c>
      <c r="AI67" s="21">
        <v>119.1</v>
      </c>
    </row>
    <row r="68" spans="1:35" x14ac:dyDescent="0.35">
      <c r="A68" s="21" t="s">
        <v>34</v>
      </c>
      <c r="B68" s="21">
        <v>2014</v>
      </c>
      <c r="C68" s="21" t="s">
        <v>43</v>
      </c>
      <c r="D68" s="17" t="str">
        <f t="shared" ref="D68:D131" si="2">CONCATENATE(C68,"-",B68)</f>
        <v>October-2014</v>
      </c>
      <c r="E68" s="21">
        <v>123.2</v>
      </c>
      <c r="F68" s="21">
        <v>123.8</v>
      </c>
      <c r="G68" s="21">
        <v>118.1</v>
      </c>
      <c r="H68" s="21">
        <v>123.2</v>
      </c>
      <c r="I68" s="21">
        <v>107.9</v>
      </c>
      <c r="J68" s="21">
        <v>126.4</v>
      </c>
      <c r="K68" s="21">
        <v>156.80000000000001</v>
      </c>
      <c r="L68" s="21">
        <v>116.1</v>
      </c>
      <c r="M68" s="21">
        <v>103.1</v>
      </c>
      <c r="N68" s="21">
        <v>118.1</v>
      </c>
      <c r="O68" s="21">
        <v>116.1</v>
      </c>
      <c r="P68" s="21">
        <v>124.5</v>
      </c>
      <c r="Q68" s="21">
        <v>125.4</v>
      </c>
      <c r="R68" s="21">
        <v>1582.7</v>
      </c>
      <c r="S68" s="21">
        <v>121.5</v>
      </c>
      <c r="T68" s="21">
        <v>118.1</v>
      </c>
      <c r="U68" s="21">
        <v>121</v>
      </c>
      <c r="V68" s="21">
        <v>360.6</v>
      </c>
      <c r="W68" s="21">
        <v>116.7</v>
      </c>
      <c r="X68" s="21">
        <v>116.7</v>
      </c>
      <c r="Y68" s="21">
        <v>233.4</v>
      </c>
      <c r="Z68" s="21">
        <v>114.3</v>
      </c>
      <c r="AA68" s="21">
        <v>109.6</v>
      </c>
      <c r="AB68" s="21">
        <f t="shared" ref="AB68:AB131" si="3">SUM(Z68:AA68)</f>
        <v>223.89999999999998</v>
      </c>
      <c r="AC68" s="21">
        <v>114.7</v>
      </c>
      <c r="AD68" s="21">
        <v>111.8</v>
      </c>
      <c r="AE68" s="21">
        <v>113.3</v>
      </c>
      <c r="AF68" s="21">
        <v>118.8</v>
      </c>
      <c r="AG68" s="21">
        <v>121.1</v>
      </c>
      <c r="AH68" s="21">
        <v>113.9</v>
      </c>
      <c r="AI68" s="21">
        <v>120.1</v>
      </c>
    </row>
    <row r="69" spans="1:35" x14ac:dyDescent="0.35">
      <c r="A69" s="21" t="s">
        <v>30</v>
      </c>
      <c r="B69" s="21">
        <v>2014</v>
      </c>
      <c r="C69" s="21" t="s">
        <v>45</v>
      </c>
      <c r="D69" s="17" t="str">
        <f t="shared" si="2"/>
        <v>November-2014</v>
      </c>
      <c r="E69" s="21">
        <v>122.7</v>
      </c>
      <c r="F69" s="21">
        <v>122.6</v>
      </c>
      <c r="G69" s="21">
        <v>119.9</v>
      </c>
      <c r="H69" s="21">
        <v>124</v>
      </c>
      <c r="I69" s="21">
        <v>110.5</v>
      </c>
      <c r="J69" s="21">
        <v>128.80000000000001</v>
      </c>
      <c r="K69" s="21">
        <v>152</v>
      </c>
      <c r="L69" s="21">
        <v>116.2</v>
      </c>
      <c r="M69" s="21">
        <v>103.3</v>
      </c>
      <c r="N69" s="21">
        <v>115.8</v>
      </c>
      <c r="O69" s="21">
        <v>116.8</v>
      </c>
      <c r="P69" s="21">
        <v>124.5</v>
      </c>
      <c r="Q69" s="21">
        <v>124.9</v>
      </c>
      <c r="R69" s="21">
        <v>1582</v>
      </c>
      <c r="S69" s="21">
        <v>123.3</v>
      </c>
      <c r="T69" s="21">
        <v>120.5</v>
      </c>
      <c r="U69" s="21">
        <v>122.9</v>
      </c>
      <c r="V69" s="21">
        <v>366.70000000000005</v>
      </c>
      <c r="W69" s="21">
        <v>117.1</v>
      </c>
      <c r="X69" s="21">
        <v>118.1</v>
      </c>
      <c r="Y69" s="21">
        <v>235.2</v>
      </c>
      <c r="Z69" s="21">
        <v>115.9</v>
      </c>
      <c r="AA69" s="21">
        <v>108.8</v>
      </c>
      <c r="AB69" s="21">
        <f t="shared" si="3"/>
        <v>224.7</v>
      </c>
      <c r="AC69" s="21">
        <v>117.3</v>
      </c>
      <c r="AD69" s="21">
        <v>112</v>
      </c>
      <c r="AE69" s="21">
        <v>113.3</v>
      </c>
      <c r="AF69" s="21">
        <v>117.2</v>
      </c>
      <c r="AG69" s="21">
        <v>120.8</v>
      </c>
      <c r="AH69" s="21">
        <v>114.1</v>
      </c>
      <c r="AI69" s="21">
        <v>121.1</v>
      </c>
    </row>
    <row r="70" spans="1:35" x14ac:dyDescent="0.35">
      <c r="A70" s="21" t="s">
        <v>33</v>
      </c>
      <c r="B70" s="21">
        <v>2014</v>
      </c>
      <c r="C70" s="21" t="s">
        <v>45</v>
      </c>
      <c r="D70" s="17" t="str">
        <f t="shared" si="2"/>
        <v>November-2014</v>
      </c>
      <c r="E70" s="21">
        <v>124.5</v>
      </c>
      <c r="F70" s="21">
        <v>125.6</v>
      </c>
      <c r="G70" s="21">
        <v>122.7</v>
      </c>
      <c r="H70" s="21">
        <v>124.6</v>
      </c>
      <c r="I70" s="21">
        <v>103.2</v>
      </c>
      <c r="J70" s="21">
        <v>122.2</v>
      </c>
      <c r="K70" s="21">
        <v>153.19999999999999</v>
      </c>
      <c r="L70" s="21">
        <v>119.3</v>
      </c>
      <c r="M70" s="21">
        <v>99.8</v>
      </c>
      <c r="N70" s="21">
        <v>124.6</v>
      </c>
      <c r="O70" s="21">
        <v>115.8</v>
      </c>
      <c r="P70" s="21">
        <v>126.9</v>
      </c>
      <c r="Q70" s="21">
        <v>125.4</v>
      </c>
      <c r="R70" s="21">
        <v>1587.8</v>
      </c>
      <c r="S70" s="21">
        <v>120.3</v>
      </c>
      <c r="T70" s="21">
        <v>115.4</v>
      </c>
      <c r="U70" s="21">
        <v>119.5</v>
      </c>
      <c r="V70" s="21">
        <v>355.2</v>
      </c>
      <c r="W70" s="21">
        <v>117.1</v>
      </c>
      <c r="X70" s="21">
        <v>116.4</v>
      </c>
      <c r="Y70" s="21">
        <v>233.5</v>
      </c>
      <c r="Z70" s="21">
        <v>113</v>
      </c>
      <c r="AA70" s="21">
        <v>109.6</v>
      </c>
      <c r="AB70" s="21">
        <f t="shared" si="3"/>
        <v>222.6</v>
      </c>
      <c r="AC70" s="21">
        <v>112.6</v>
      </c>
      <c r="AD70" s="21">
        <v>109.7</v>
      </c>
      <c r="AE70" s="21">
        <v>114</v>
      </c>
      <c r="AF70" s="21">
        <v>120.3</v>
      </c>
      <c r="AG70" s="21">
        <v>125.8</v>
      </c>
      <c r="AH70" s="21">
        <v>113.4</v>
      </c>
      <c r="AI70" s="21">
        <v>119</v>
      </c>
    </row>
    <row r="71" spans="1:35" x14ac:dyDescent="0.35">
      <c r="A71" s="21" t="s">
        <v>34</v>
      </c>
      <c r="B71" s="21">
        <v>2014</v>
      </c>
      <c r="C71" s="21" t="s">
        <v>45</v>
      </c>
      <c r="D71" s="17" t="str">
        <f t="shared" si="2"/>
        <v>November-2014</v>
      </c>
      <c r="E71" s="21">
        <v>123.3</v>
      </c>
      <c r="F71" s="21">
        <v>123.7</v>
      </c>
      <c r="G71" s="21">
        <v>121</v>
      </c>
      <c r="H71" s="21">
        <v>124.2</v>
      </c>
      <c r="I71" s="21">
        <v>107.8</v>
      </c>
      <c r="J71" s="21">
        <v>125.7</v>
      </c>
      <c r="K71" s="21">
        <v>152.4</v>
      </c>
      <c r="L71" s="21">
        <v>117.2</v>
      </c>
      <c r="M71" s="21">
        <v>102.1</v>
      </c>
      <c r="N71" s="21">
        <v>118.7</v>
      </c>
      <c r="O71" s="21">
        <v>116.4</v>
      </c>
      <c r="P71" s="21">
        <v>125.6</v>
      </c>
      <c r="Q71" s="21">
        <v>125.1</v>
      </c>
      <c r="R71" s="21">
        <v>1583.2</v>
      </c>
      <c r="S71" s="21">
        <v>122.1</v>
      </c>
      <c r="T71" s="21">
        <v>118.4</v>
      </c>
      <c r="U71" s="21">
        <v>121.6</v>
      </c>
      <c r="V71" s="21">
        <v>362.1</v>
      </c>
      <c r="W71" s="21">
        <v>117.1</v>
      </c>
      <c r="X71" s="21">
        <v>117.3</v>
      </c>
      <c r="Y71" s="21">
        <v>234.39999999999998</v>
      </c>
      <c r="Z71" s="21">
        <v>114.8</v>
      </c>
      <c r="AA71" s="21">
        <v>109.1</v>
      </c>
      <c r="AB71" s="21">
        <f t="shared" si="3"/>
        <v>223.89999999999998</v>
      </c>
      <c r="AC71" s="21">
        <v>115.5</v>
      </c>
      <c r="AD71" s="21">
        <v>110.8</v>
      </c>
      <c r="AE71" s="21">
        <v>113.7</v>
      </c>
      <c r="AF71" s="21">
        <v>119</v>
      </c>
      <c r="AG71" s="21">
        <v>122.1</v>
      </c>
      <c r="AH71" s="21">
        <v>113.8</v>
      </c>
      <c r="AI71" s="21">
        <v>120.1</v>
      </c>
    </row>
    <row r="72" spans="1:35" x14ac:dyDescent="0.35">
      <c r="A72" s="21" t="s">
        <v>30</v>
      </c>
      <c r="B72" s="21">
        <v>2014</v>
      </c>
      <c r="C72" s="21" t="s">
        <v>46</v>
      </c>
      <c r="D72" s="17" t="str">
        <f t="shared" si="2"/>
        <v>December-2014</v>
      </c>
      <c r="E72" s="21">
        <v>122.4</v>
      </c>
      <c r="F72" s="21">
        <v>122.4</v>
      </c>
      <c r="G72" s="21">
        <v>121.8</v>
      </c>
      <c r="H72" s="21">
        <v>124.2</v>
      </c>
      <c r="I72" s="21">
        <v>110.2</v>
      </c>
      <c r="J72" s="21">
        <v>128.6</v>
      </c>
      <c r="K72" s="21">
        <v>140.30000000000001</v>
      </c>
      <c r="L72" s="21">
        <v>116.3</v>
      </c>
      <c r="M72" s="21">
        <v>102</v>
      </c>
      <c r="N72" s="21">
        <v>116</v>
      </c>
      <c r="O72" s="21">
        <v>117.3</v>
      </c>
      <c r="P72" s="21">
        <v>124.8</v>
      </c>
      <c r="Q72" s="21">
        <v>123.3</v>
      </c>
      <c r="R72" s="21">
        <v>1569.6</v>
      </c>
      <c r="S72" s="21">
        <v>123.8</v>
      </c>
      <c r="T72" s="21">
        <v>120.6</v>
      </c>
      <c r="U72" s="21">
        <v>123.3</v>
      </c>
      <c r="V72" s="21">
        <v>367.7</v>
      </c>
      <c r="W72" s="21">
        <v>116.5</v>
      </c>
      <c r="X72" s="21">
        <v>118.2</v>
      </c>
      <c r="Y72" s="21">
        <v>234.7</v>
      </c>
      <c r="Z72" s="21">
        <v>116.2</v>
      </c>
      <c r="AA72" s="21">
        <v>109.4</v>
      </c>
      <c r="AB72" s="21">
        <f t="shared" si="3"/>
        <v>225.60000000000002</v>
      </c>
      <c r="AC72" s="21">
        <v>117.4</v>
      </c>
      <c r="AD72" s="21">
        <v>111.5</v>
      </c>
      <c r="AE72" s="21">
        <v>113.3</v>
      </c>
      <c r="AF72" s="21">
        <v>117.7</v>
      </c>
      <c r="AG72" s="21">
        <v>121.7</v>
      </c>
      <c r="AH72" s="21">
        <v>114.2</v>
      </c>
      <c r="AI72" s="21">
        <v>120.3</v>
      </c>
    </row>
    <row r="73" spans="1:35" x14ac:dyDescent="0.35">
      <c r="A73" s="21" t="s">
        <v>33</v>
      </c>
      <c r="B73" s="21">
        <v>2014</v>
      </c>
      <c r="C73" s="21" t="s">
        <v>46</v>
      </c>
      <c r="D73" s="17" t="str">
        <f t="shared" si="2"/>
        <v>December-2014</v>
      </c>
      <c r="E73" s="21">
        <v>124</v>
      </c>
      <c r="F73" s="21">
        <v>124.7</v>
      </c>
      <c r="G73" s="21">
        <v>126.3</v>
      </c>
      <c r="H73" s="21">
        <v>124.9</v>
      </c>
      <c r="I73" s="21">
        <v>103</v>
      </c>
      <c r="J73" s="21">
        <v>122.3</v>
      </c>
      <c r="K73" s="21">
        <v>141</v>
      </c>
      <c r="L73" s="21">
        <v>120.1</v>
      </c>
      <c r="M73" s="21">
        <v>97.8</v>
      </c>
      <c r="N73" s="21">
        <v>125.4</v>
      </c>
      <c r="O73" s="21">
        <v>116.1</v>
      </c>
      <c r="P73" s="21">
        <v>127.6</v>
      </c>
      <c r="Q73" s="21">
        <v>124</v>
      </c>
      <c r="R73" s="21">
        <v>1577.1999999999998</v>
      </c>
      <c r="S73" s="21">
        <v>120.7</v>
      </c>
      <c r="T73" s="21">
        <v>115.8</v>
      </c>
      <c r="U73" s="21">
        <v>120</v>
      </c>
      <c r="V73" s="21">
        <v>356.5</v>
      </c>
      <c r="W73" s="21">
        <v>116.5</v>
      </c>
      <c r="X73" s="21">
        <v>116.8</v>
      </c>
      <c r="Y73" s="21">
        <v>233.3</v>
      </c>
      <c r="Z73" s="21">
        <v>113.2</v>
      </c>
      <c r="AA73" s="21">
        <v>110.4</v>
      </c>
      <c r="AB73" s="21">
        <f t="shared" si="3"/>
        <v>223.60000000000002</v>
      </c>
      <c r="AC73" s="21">
        <v>113</v>
      </c>
      <c r="AD73" s="21">
        <v>108.8</v>
      </c>
      <c r="AE73" s="21">
        <v>114.3</v>
      </c>
      <c r="AF73" s="21">
        <v>120.7</v>
      </c>
      <c r="AG73" s="21">
        <v>126.4</v>
      </c>
      <c r="AH73" s="21">
        <v>113.4</v>
      </c>
      <c r="AI73" s="21">
        <v>118.4</v>
      </c>
    </row>
    <row r="74" spans="1:35" x14ac:dyDescent="0.35">
      <c r="A74" s="21" t="s">
        <v>34</v>
      </c>
      <c r="B74" s="21">
        <v>2014</v>
      </c>
      <c r="C74" s="21" t="s">
        <v>46</v>
      </c>
      <c r="D74" s="17" t="str">
        <f t="shared" si="2"/>
        <v>December-2014</v>
      </c>
      <c r="E74" s="21">
        <v>122.9</v>
      </c>
      <c r="F74" s="21">
        <v>123.2</v>
      </c>
      <c r="G74" s="21">
        <v>123.5</v>
      </c>
      <c r="H74" s="21">
        <v>124.5</v>
      </c>
      <c r="I74" s="21">
        <v>107.6</v>
      </c>
      <c r="J74" s="21">
        <v>125.7</v>
      </c>
      <c r="K74" s="21">
        <v>140.5</v>
      </c>
      <c r="L74" s="21">
        <v>117.6</v>
      </c>
      <c r="M74" s="21">
        <v>100.6</v>
      </c>
      <c r="N74" s="21">
        <v>119.1</v>
      </c>
      <c r="O74" s="21">
        <v>116.8</v>
      </c>
      <c r="P74" s="21">
        <v>126.1</v>
      </c>
      <c r="Q74" s="21">
        <v>123.6</v>
      </c>
      <c r="R74" s="21">
        <v>1571.6999999999998</v>
      </c>
      <c r="S74" s="21">
        <v>122.6</v>
      </c>
      <c r="T74" s="21">
        <v>118.6</v>
      </c>
      <c r="U74" s="21">
        <v>122</v>
      </c>
      <c r="V74" s="21">
        <v>363.2</v>
      </c>
      <c r="W74" s="21">
        <v>116.5</v>
      </c>
      <c r="X74" s="21">
        <v>117.5</v>
      </c>
      <c r="Y74" s="21">
        <v>234</v>
      </c>
      <c r="Z74" s="21">
        <v>115.1</v>
      </c>
      <c r="AA74" s="21">
        <v>109.8</v>
      </c>
      <c r="AB74" s="21">
        <f t="shared" si="3"/>
        <v>224.89999999999998</v>
      </c>
      <c r="AC74" s="21">
        <v>115.7</v>
      </c>
      <c r="AD74" s="21">
        <v>110.1</v>
      </c>
      <c r="AE74" s="21">
        <v>113.9</v>
      </c>
      <c r="AF74" s="21">
        <v>119.5</v>
      </c>
      <c r="AG74" s="21">
        <v>123</v>
      </c>
      <c r="AH74" s="21">
        <v>113.8</v>
      </c>
      <c r="AI74" s="21">
        <v>119.4</v>
      </c>
    </row>
    <row r="75" spans="1:35" x14ac:dyDescent="0.35">
      <c r="A75" s="21" t="s">
        <v>30</v>
      </c>
      <c r="B75" s="21">
        <v>2015</v>
      </c>
      <c r="C75" s="21" t="s">
        <v>31</v>
      </c>
      <c r="D75" s="17" t="str">
        <f t="shared" si="2"/>
        <v>January-2015</v>
      </c>
      <c r="E75" s="21">
        <v>123.1</v>
      </c>
      <c r="F75" s="21">
        <v>123.1</v>
      </c>
      <c r="G75" s="21">
        <v>122.1</v>
      </c>
      <c r="H75" s="21">
        <v>124.9</v>
      </c>
      <c r="I75" s="21">
        <v>111</v>
      </c>
      <c r="J75" s="21">
        <v>130.4</v>
      </c>
      <c r="K75" s="21">
        <v>132.30000000000001</v>
      </c>
      <c r="L75" s="21">
        <v>117.2</v>
      </c>
      <c r="M75" s="21">
        <v>100.5</v>
      </c>
      <c r="N75" s="21">
        <v>117.2</v>
      </c>
      <c r="O75" s="21">
        <v>117.9</v>
      </c>
      <c r="P75" s="21">
        <v>125.6</v>
      </c>
      <c r="Q75" s="21">
        <v>122.8</v>
      </c>
      <c r="R75" s="21">
        <v>1568.1</v>
      </c>
      <c r="S75" s="21">
        <v>124.4</v>
      </c>
      <c r="T75" s="21">
        <v>121.6</v>
      </c>
      <c r="U75" s="21">
        <v>124</v>
      </c>
      <c r="V75" s="21">
        <v>370</v>
      </c>
      <c r="W75" s="21">
        <v>117.3</v>
      </c>
      <c r="X75" s="21">
        <v>118.9</v>
      </c>
      <c r="Y75" s="21">
        <v>236.2</v>
      </c>
      <c r="Z75" s="21">
        <v>116.6</v>
      </c>
      <c r="AA75" s="21">
        <v>110.2</v>
      </c>
      <c r="AB75" s="21">
        <f t="shared" si="3"/>
        <v>226.8</v>
      </c>
      <c r="AC75" s="21">
        <v>118.4</v>
      </c>
      <c r="AD75" s="21">
        <v>111</v>
      </c>
      <c r="AE75" s="21">
        <v>114</v>
      </c>
      <c r="AF75" s="21">
        <v>118.2</v>
      </c>
      <c r="AG75" s="21">
        <v>122.7</v>
      </c>
      <c r="AH75" s="21">
        <v>114.5</v>
      </c>
      <c r="AI75" s="21">
        <v>120.3</v>
      </c>
    </row>
    <row r="76" spans="1:35" x14ac:dyDescent="0.35">
      <c r="A76" s="21" t="s">
        <v>33</v>
      </c>
      <c r="B76" s="21">
        <v>2015</v>
      </c>
      <c r="C76" s="21" t="s">
        <v>31</v>
      </c>
      <c r="D76" s="17" t="str">
        <f t="shared" si="2"/>
        <v>January-2015</v>
      </c>
      <c r="E76" s="21">
        <v>124</v>
      </c>
      <c r="F76" s="21">
        <v>125.5</v>
      </c>
      <c r="G76" s="21">
        <v>126.6</v>
      </c>
      <c r="H76" s="21">
        <v>125.2</v>
      </c>
      <c r="I76" s="21">
        <v>104.3</v>
      </c>
      <c r="J76" s="21">
        <v>121.3</v>
      </c>
      <c r="K76" s="21">
        <v>134.4</v>
      </c>
      <c r="L76" s="21">
        <v>122.9</v>
      </c>
      <c r="M76" s="21">
        <v>96.1</v>
      </c>
      <c r="N76" s="21">
        <v>126.6</v>
      </c>
      <c r="O76" s="21">
        <v>116.5</v>
      </c>
      <c r="P76" s="21">
        <v>128</v>
      </c>
      <c r="Q76" s="21">
        <v>123.5</v>
      </c>
      <c r="R76" s="21">
        <v>1574.8999999999999</v>
      </c>
      <c r="S76" s="21">
        <v>121</v>
      </c>
      <c r="T76" s="21">
        <v>116.1</v>
      </c>
      <c r="U76" s="21">
        <v>120.2</v>
      </c>
      <c r="V76" s="21">
        <v>357.3</v>
      </c>
      <c r="W76" s="21">
        <v>117.3</v>
      </c>
      <c r="X76" s="21">
        <v>117.2</v>
      </c>
      <c r="Y76" s="21">
        <v>234.5</v>
      </c>
      <c r="Z76" s="21">
        <v>113.7</v>
      </c>
      <c r="AA76" s="21">
        <v>111.4</v>
      </c>
      <c r="AB76" s="21">
        <f t="shared" si="3"/>
        <v>225.10000000000002</v>
      </c>
      <c r="AC76" s="21">
        <v>113.4</v>
      </c>
      <c r="AD76" s="21">
        <v>107.9</v>
      </c>
      <c r="AE76" s="21">
        <v>114.6</v>
      </c>
      <c r="AF76" s="21">
        <v>120.8</v>
      </c>
      <c r="AG76" s="21">
        <v>127.4</v>
      </c>
      <c r="AH76" s="21">
        <v>113.4</v>
      </c>
      <c r="AI76" s="21">
        <v>118.5</v>
      </c>
    </row>
    <row r="77" spans="1:35" x14ac:dyDescent="0.35">
      <c r="A77" s="21" t="s">
        <v>34</v>
      </c>
      <c r="B77" s="21">
        <v>2015</v>
      </c>
      <c r="C77" s="21" t="s">
        <v>31</v>
      </c>
      <c r="D77" s="17" t="str">
        <f t="shared" si="2"/>
        <v>January-2015</v>
      </c>
      <c r="E77" s="21">
        <v>123.4</v>
      </c>
      <c r="F77" s="21">
        <v>123.9</v>
      </c>
      <c r="G77" s="21">
        <v>123.8</v>
      </c>
      <c r="H77" s="21">
        <v>125</v>
      </c>
      <c r="I77" s="21">
        <v>108.5</v>
      </c>
      <c r="J77" s="21">
        <v>126.2</v>
      </c>
      <c r="K77" s="21">
        <v>133</v>
      </c>
      <c r="L77" s="21">
        <v>119.1</v>
      </c>
      <c r="M77" s="21">
        <v>99</v>
      </c>
      <c r="N77" s="21">
        <v>120.3</v>
      </c>
      <c r="O77" s="21">
        <v>117.3</v>
      </c>
      <c r="P77" s="21">
        <v>126.7</v>
      </c>
      <c r="Q77" s="21">
        <v>123.1</v>
      </c>
      <c r="R77" s="21">
        <v>1569.3</v>
      </c>
      <c r="S77" s="21">
        <v>123.1</v>
      </c>
      <c r="T77" s="21">
        <v>119.3</v>
      </c>
      <c r="U77" s="21">
        <v>122.5</v>
      </c>
      <c r="V77" s="21">
        <v>364.9</v>
      </c>
      <c r="W77" s="21">
        <v>117.3</v>
      </c>
      <c r="X77" s="21">
        <v>118.1</v>
      </c>
      <c r="Y77" s="21">
        <v>235.39999999999998</v>
      </c>
      <c r="Z77" s="21">
        <v>115.5</v>
      </c>
      <c r="AA77" s="21">
        <v>110.7</v>
      </c>
      <c r="AB77" s="21">
        <f t="shared" si="3"/>
        <v>226.2</v>
      </c>
      <c r="AC77" s="21">
        <v>116.5</v>
      </c>
      <c r="AD77" s="21">
        <v>109.4</v>
      </c>
      <c r="AE77" s="21">
        <v>114.3</v>
      </c>
      <c r="AF77" s="21">
        <v>119.7</v>
      </c>
      <c r="AG77" s="21">
        <v>124</v>
      </c>
      <c r="AH77" s="21">
        <v>114</v>
      </c>
      <c r="AI77" s="21">
        <v>119.5</v>
      </c>
    </row>
    <row r="78" spans="1:35" x14ac:dyDescent="0.35">
      <c r="A78" s="21" t="s">
        <v>30</v>
      </c>
      <c r="B78" s="21">
        <v>2015</v>
      </c>
      <c r="C78" s="21" t="s">
        <v>35</v>
      </c>
      <c r="D78" s="17" t="str">
        <f t="shared" si="2"/>
        <v>February-2015</v>
      </c>
      <c r="E78" s="21">
        <v>123.4</v>
      </c>
      <c r="F78" s="21">
        <v>124.4</v>
      </c>
      <c r="G78" s="21">
        <v>122.1</v>
      </c>
      <c r="H78" s="21">
        <v>125.8</v>
      </c>
      <c r="I78" s="21">
        <v>111.5</v>
      </c>
      <c r="J78" s="21">
        <v>129.4</v>
      </c>
      <c r="K78" s="21">
        <v>128.19999999999999</v>
      </c>
      <c r="L78" s="21">
        <v>118.8</v>
      </c>
      <c r="M78" s="21">
        <v>100</v>
      </c>
      <c r="N78" s="21">
        <v>118.6</v>
      </c>
      <c r="O78" s="21">
        <v>118.8</v>
      </c>
      <c r="P78" s="21">
        <v>126.8</v>
      </c>
      <c r="Q78" s="21">
        <v>122.8</v>
      </c>
      <c r="R78" s="21">
        <v>1570.5999999999997</v>
      </c>
      <c r="S78" s="21">
        <v>125.4</v>
      </c>
      <c r="T78" s="21">
        <v>122.7</v>
      </c>
      <c r="U78" s="21">
        <v>125</v>
      </c>
      <c r="V78" s="21">
        <v>373.1</v>
      </c>
      <c r="W78" s="21">
        <v>118.1</v>
      </c>
      <c r="X78" s="21">
        <v>119.6</v>
      </c>
      <c r="Y78" s="21">
        <v>237.7</v>
      </c>
      <c r="Z78" s="21">
        <v>117.7</v>
      </c>
      <c r="AA78" s="21">
        <v>110.8</v>
      </c>
      <c r="AB78" s="21">
        <f t="shared" si="3"/>
        <v>228.5</v>
      </c>
      <c r="AC78" s="21">
        <v>120</v>
      </c>
      <c r="AD78" s="21">
        <v>110.9</v>
      </c>
      <c r="AE78" s="21">
        <v>114.8</v>
      </c>
      <c r="AF78" s="21">
        <v>118.7</v>
      </c>
      <c r="AG78" s="21">
        <v>124.2</v>
      </c>
      <c r="AH78" s="21">
        <v>115</v>
      </c>
      <c r="AI78" s="21">
        <v>120.6</v>
      </c>
    </row>
    <row r="79" spans="1:35" x14ac:dyDescent="0.35">
      <c r="A79" s="21" t="s">
        <v>33</v>
      </c>
      <c r="B79" s="21">
        <v>2015</v>
      </c>
      <c r="C79" s="21" t="s">
        <v>35</v>
      </c>
      <c r="D79" s="17" t="str">
        <f t="shared" si="2"/>
        <v>February-2015</v>
      </c>
      <c r="E79" s="21">
        <v>124.3</v>
      </c>
      <c r="F79" s="21">
        <v>126.5</v>
      </c>
      <c r="G79" s="21">
        <v>119.5</v>
      </c>
      <c r="H79" s="21">
        <v>125.6</v>
      </c>
      <c r="I79" s="21">
        <v>104.9</v>
      </c>
      <c r="J79" s="21">
        <v>121.6</v>
      </c>
      <c r="K79" s="21">
        <v>131.80000000000001</v>
      </c>
      <c r="L79" s="21">
        <v>125.1</v>
      </c>
      <c r="M79" s="21">
        <v>95</v>
      </c>
      <c r="N79" s="21">
        <v>127.7</v>
      </c>
      <c r="O79" s="21">
        <v>116.8</v>
      </c>
      <c r="P79" s="21">
        <v>128.6</v>
      </c>
      <c r="Q79" s="21">
        <v>123.7</v>
      </c>
      <c r="R79" s="21">
        <v>1571.1000000000001</v>
      </c>
      <c r="S79" s="21">
        <v>121.3</v>
      </c>
      <c r="T79" s="21">
        <v>116.5</v>
      </c>
      <c r="U79" s="21">
        <v>120.6</v>
      </c>
      <c r="V79" s="21">
        <v>358.4</v>
      </c>
      <c r="W79" s="21">
        <v>118.1</v>
      </c>
      <c r="X79" s="21">
        <v>117.7</v>
      </c>
      <c r="Y79" s="21">
        <v>235.8</v>
      </c>
      <c r="Z79" s="21">
        <v>114.1</v>
      </c>
      <c r="AA79" s="21">
        <v>111.7</v>
      </c>
      <c r="AB79" s="21">
        <f t="shared" si="3"/>
        <v>225.8</v>
      </c>
      <c r="AC79" s="21">
        <v>114</v>
      </c>
      <c r="AD79" s="21">
        <v>106.8</v>
      </c>
      <c r="AE79" s="21">
        <v>114.9</v>
      </c>
      <c r="AF79" s="21">
        <v>120.4</v>
      </c>
      <c r="AG79" s="21">
        <v>128.1</v>
      </c>
      <c r="AH79" s="21">
        <v>113.2</v>
      </c>
      <c r="AI79" s="21">
        <v>118.7</v>
      </c>
    </row>
    <row r="80" spans="1:35" x14ac:dyDescent="0.35">
      <c r="A80" s="21" t="s">
        <v>34</v>
      </c>
      <c r="B80" s="21">
        <v>2015</v>
      </c>
      <c r="C80" s="21" t="s">
        <v>35</v>
      </c>
      <c r="D80" s="17" t="str">
        <f t="shared" si="2"/>
        <v>February-2015</v>
      </c>
      <c r="E80" s="21">
        <v>123.7</v>
      </c>
      <c r="F80" s="21">
        <v>125.1</v>
      </c>
      <c r="G80" s="21">
        <v>121.1</v>
      </c>
      <c r="H80" s="21">
        <v>125.7</v>
      </c>
      <c r="I80" s="21">
        <v>109.1</v>
      </c>
      <c r="J80" s="21">
        <v>125.8</v>
      </c>
      <c r="K80" s="21">
        <v>129.4</v>
      </c>
      <c r="L80" s="21">
        <v>120.9</v>
      </c>
      <c r="M80" s="21">
        <v>98.3</v>
      </c>
      <c r="N80" s="21">
        <v>121.6</v>
      </c>
      <c r="O80" s="21">
        <v>118</v>
      </c>
      <c r="P80" s="21">
        <v>127.6</v>
      </c>
      <c r="Q80" s="21">
        <v>123.1</v>
      </c>
      <c r="R80" s="21">
        <v>1569.3999999999996</v>
      </c>
      <c r="S80" s="21">
        <v>123.8</v>
      </c>
      <c r="T80" s="21">
        <v>120.1</v>
      </c>
      <c r="U80" s="21">
        <v>123.3</v>
      </c>
      <c r="V80" s="21">
        <v>367.2</v>
      </c>
      <c r="W80" s="21">
        <v>118.1</v>
      </c>
      <c r="X80" s="21">
        <v>118.7</v>
      </c>
      <c r="Y80" s="21">
        <v>236.8</v>
      </c>
      <c r="Z80" s="21">
        <v>116.3</v>
      </c>
      <c r="AA80" s="21">
        <v>111.2</v>
      </c>
      <c r="AB80" s="21">
        <f t="shared" si="3"/>
        <v>227.5</v>
      </c>
      <c r="AC80" s="21">
        <v>117.7</v>
      </c>
      <c r="AD80" s="21">
        <v>108.7</v>
      </c>
      <c r="AE80" s="21">
        <v>114.9</v>
      </c>
      <c r="AF80" s="21">
        <v>119.7</v>
      </c>
      <c r="AG80" s="21">
        <v>125.2</v>
      </c>
      <c r="AH80" s="21">
        <v>114.1</v>
      </c>
      <c r="AI80" s="21">
        <v>119.7</v>
      </c>
    </row>
    <row r="81" spans="1:35" x14ac:dyDescent="0.35">
      <c r="A81" s="21" t="s">
        <v>30</v>
      </c>
      <c r="B81" s="21">
        <v>2015</v>
      </c>
      <c r="C81" s="21" t="s">
        <v>36</v>
      </c>
      <c r="D81" s="17" t="str">
        <f t="shared" si="2"/>
        <v>March-2015</v>
      </c>
      <c r="E81" s="21">
        <v>123.3</v>
      </c>
      <c r="F81" s="21">
        <v>124.7</v>
      </c>
      <c r="G81" s="21">
        <v>118.9</v>
      </c>
      <c r="H81" s="21">
        <v>126</v>
      </c>
      <c r="I81" s="21">
        <v>111.8</v>
      </c>
      <c r="J81" s="21">
        <v>130.9</v>
      </c>
      <c r="K81" s="21">
        <v>128</v>
      </c>
      <c r="L81" s="21">
        <v>119.9</v>
      </c>
      <c r="M81" s="21">
        <v>98.9</v>
      </c>
      <c r="N81" s="21">
        <v>119.4</v>
      </c>
      <c r="O81" s="21">
        <v>118.9</v>
      </c>
      <c r="P81" s="21">
        <v>127.7</v>
      </c>
      <c r="Q81" s="21">
        <v>123.1</v>
      </c>
      <c r="R81" s="21">
        <v>1571.5</v>
      </c>
      <c r="S81" s="21">
        <v>126</v>
      </c>
      <c r="T81" s="21">
        <v>122.9</v>
      </c>
      <c r="U81" s="21">
        <v>125.5</v>
      </c>
      <c r="V81" s="21">
        <v>374.4</v>
      </c>
      <c r="W81" s="21">
        <v>118.6</v>
      </c>
      <c r="X81" s="21">
        <v>120.2</v>
      </c>
      <c r="Y81" s="21">
        <v>238.8</v>
      </c>
      <c r="Z81" s="21">
        <v>118.2</v>
      </c>
      <c r="AA81" s="21">
        <v>110.8</v>
      </c>
      <c r="AB81" s="21">
        <f t="shared" si="3"/>
        <v>229</v>
      </c>
      <c r="AC81" s="21">
        <v>120.6</v>
      </c>
      <c r="AD81" s="21">
        <v>111.6</v>
      </c>
      <c r="AE81" s="21">
        <v>115.5</v>
      </c>
      <c r="AF81" s="21">
        <v>119.4</v>
      </c>
      <c r="AG81" s="21">
        <v>124.7</v>
      </c>
      <c r="AH81" s="21">
        <v>115.5</v>
      </c>
      <c r="AI81" s="21">
        <v>121.1</v>
      </c>
    </row>
    <row r="82" spans="1:35" x14ac:dyDescent="0.35">
      <c r="A82" s="21" t="s">
        <v>33</v>
      </c>
      <c r="B82" s="21">
        <v>2015</v>
      </c>
      <c r="C82" s="21" t="s">
        <v>36</v>
      </c>
      <c r="D82" s="17" t="str">
        <f t="shared" si="2"/>
        <v>March-2015</v>
      </c>
      <c r="E82" s="21">
        <v>124</v>
      </c>
      <c r="F82" s="21">
        <v>126.7</v>
      </c>
      <c r="G82" s="21">
        <v>113.5</v>
      </c>
      <c r="H82" s="21">
        <v>125.9</v>
      </c>
      <c r="I82" s="21">
        <v>104.8</v>
      </c>
      <c r="J82" s="21">
        <v>123.8</v>
      </c>
      <c r="K82" s="21">
        <v>131.4</v>
      </c>
      <c r="L82" s="21">
        <v>127.2</v>
      </c>
      <c r="M82" s="21">
        <v>93.2</v>
      </c>
      <c r="N82" s="21">
        <v>127.4</v>
      </c>
      <c r="O82" s="21">
        <v>117</v>
      </c>
      <c r="P82" s="21">
        <v>129.19999999999999</v>
      </c>
      <c r="Q82" s="21">
        <v>123.9</v>
      </c>
      <c r="R82" s="21">
        <v>1568.0000000000002</v>
      </c>
      <c r="S82" s="21">
        <v>121.7</v>
      </c>
      <c r="T82" s="21">
        <v>116.9</v>
      </c>
      <c r="U82" s="21">
        <v>120.9</v>
      </c>
      <c r="V82" s="21">
        <v>359.5</v>
      </c>
      <c r="W82" s="21">
        <v>118.6</v>
      </c>
      <c r="X82" s="21">
        <v>118</v>
      </c>
      <c r="Y82" s="21">
        <v>236.6</v>
      </c>
      <c r="Z82" s="21">
        <v>114.3</v>
      </c>
      <c r="AA82" s="21">
        <v>111.3</v>
      </c>
      <c r="AB82" s="21">
        <f t="shared" si="3"/>
        <v>225.6</v>
      </c>
      <c r="AC82" s="21">
        <v>114.4</v>
      </c>
      <c r="AD82" s="21">
        <v>108.4</v>
      </c>
      <c r="AE82" s="21">
        <v>115.4</v>
      </c>
      <c r="AF82" s="21">
        <v>120.6</v>
      </c>
      <c r="AG82" s="21">
        <v>128.80000000000001</v>
      </c>
      <c r="AH82" s="21">
        <v>113.8</v>
      </c>
      <c r="AI82" s="21">
        <v>119.1</v>
      </c>
    </row>
    <row r="83" spans="1:35" x14ac:dyDescent="0.35">
      <c r="A83" s="21" t="s">
        <v>34</v>
      </c>
      <c r="B83" s="21">
        <v>2015</v>
      </c>
      <c r="C83" s="21" t="s">
        <v>36</v>
      </c>
      <c r="D83" s="17" t="str">
        <f t="shared" si="2"/>
        <v>March-2015</v>
      </c>
      <c r="E83" s="21">
        <v>123.5</v>
      </c>
      <c r="F83" s="21">
        <v>125.4</v>
      </c>
      <c r="G83" s="21">
        <v>116.8</v>
      </c>
      <c r="H83" s="21">
        <v>126</v>
      </c>
      <c r="I83" s="21">
        <v>109.2</v>
      </c>
      <c r="J83" s="21">
        <v>127.6</v>
      </c>
      <c r="K83" s="21">
        <v>129.19999999999999</v>
      </c>
      <c r="L83" s="21">
        <v>122.4</v>
      </c>
      <c r="M83" s="21">
        <v>97</v>
      </c>
      <c r="N83" s="21">
        <v>122.1</v>
      </c>
      <c r="O83" s="21">
        <v>118.1</v>
      </c>
      <c r="P83" s="21">
        <v>128.4</v>
      </c>
      <c r="Q83" s="21">
        <v>123.4</v>
      </c>
      <c r="R83" s="21">
        <v>1569.1</v>
      </c>
      <c r="S83" s="21">
        <v>124.3</v>
      </c>
      <c r="T83" s="21">
        <v>120.4</v>
      </c>
      <c r="U83" s="21">
        <v>123.7</v>
      </c>
      <c r="V83" s="21">
        <v>368.4</v>
      </c>
      <c r="W83" s="21">
        <v>118.6</v>
      </c>
      <c r="X83" s="21">
        <v>119.2</v>
      </c>
      <c r="Y83" s="21">
        <v>237.8</v>
      </c>
      <c r="Z83" s="21">
        <v>116.7</v>
      </c>
      <c r="AA83" s="21">
        <v>111</v>
      </c>
      <c r="AB83" s="21">
        <f t="shared" si="3"/>
        <v>227.7</v>
      </c>
      <c r="AC83" s="21">
        <v>118.3</v>
      </c>
      <c r="AD83" s="21">
        <v>109.9</v>
      </c>
      <c r="AE83" s="21">
        <v>115.4</v>
      </c>
      <c r="AF83" s="21">
        <v>120.1</v>
      </c>
      <c r="AG83" s="21">
        <v>125.8</v>
      </c>
      <c r="AH83" s="21">
        <v>114.7</v>
      </c>
      <c r="AI83" s="21">
        <v>120.2</v>
      </c>
    </row>
    <row r="84" spans="1:35" x14ac:dyDescent="0.35">
      <c r="A84" s="21" t="s">
        <v>30</v>
      </c>
      <c r="B84" s="21">
        <v>2015</v>
      </c>
      <c r="C84" s="21" t="s">
        <v>37</v>
      </c>
      <c r="D84" s="17" t="str">
        <f t="shared" si="2"/>
        <v>April-2015</v>
      </c>
      <c r="E84" s="21">
        <v>123.3</v>
      </c>
      <c r="F84" s="21">
        <v>125.5</v>
      </c>
      <c r="G84" s="21">
        <v>117.2</v>
      </c>
      <c r="H84" s="21">
        <v>126.8</v>
      </c>
      <c r="I84" s="21">
        <v>111.9</v>
      </c>
      <c r="J84" s="21">
        <v>134.19999999999999</v>
      </c>
      <c r="K84" s="21">
        <v>127.5</v>
      </c>
      <c r="L84" s="21">
        <v>121.5</v>
      </c>
      <c r="M84" s="21">
        <v>97.8</v>
      </c>
      <c r="N84" s="21">
        <v>119.8</v>
      </c>
      <c r="O84" s="21">
        <v>119.4</v>
      </c>
      <c r="P84" s="21">
        <v>128.69999999999999</v>
      </c>
      <c r="Q84" s="21">
        <v>123.6</v>
      </c>
      <c r="R84" s="21">
        <v>1577.2</v>
      </c>
      <c r="S84" s="21">
        <v>126.4</v>
      </c>
      <c r="T84" s="21">
        <v>123.3</v>
      </c>
      <c r="U84" s="21">
        <v>126</v>
      </c>
      <c r="V84" s="21">
        <v>375.7</v>
      </c>
      <c r="W84" s="21">
        <v>119.2</v>
      </c>
      <c r="X84" s="21">
        <v>120.9</v>
      </c>
      <c r="Y84" s="21">
        <v>240.10000000000002</v>
      </c>
      <c r="Z84" s="21">
        <v>118.6</v>
      </c>
      <c r="AA84" s="21">
        <v>111.6</v>
      </c>
      <c r="AB84" s="21">
        <f t="shared" si="3"/>
        <v>230.2</v>
      </c>
      <c r="AC84" s="21">
        <v>121.2</v>
      </c>
      <c r="AD84" s="21">
        <v>111.9</v>
      </c>
      <c r="AE84" s="21">
        <v>116.2</v>
      </c>
      <c r="AF84" s="21">
        <v>119.9</v>
      </c>
      <c r="AG84" s="21">
        <v>125.7</v>
      </c>
      <c r="AH84" s="21">
        <v>116</v>
      </c>
      <c r="AI84" s="21">
        <v>121.5</v>
      </c>
    </row>
    <row r="85" spans="1:35" x14ac:dyDescent="0.35">
      <c r="A85" s="21" t="s">
        <v>33</v>
      </c>
      <c r="B85" s="21">
        <v>2015</v>
      </c>
      <c r="C85" s="21" t="s">
        <v>37</v>
      </c>
      <c r="D85" s="17" t="str">
        <f t="shared" si="2"/>
        <v>April-2015</v>
      </c>
      <c r="E85" s="21">
        <v>123.8</v>
      </c>
      <c r="F85" s="21">
        <v>128.19999999999999</v>
      </c>
      <c r="G85" s="21">
        <v>110</v>
      </c>
      <c r="H85" s="21">
        <v>126.3</v>
      </c>
      <c r="I85" s="21">
        <v>104.5</v>
      </c>
      <c r="J85" s="21">
        <v>130.6</v>
      </c>
      <c r="K85" s="21">
        <v>130.80000000000001</v>
      </c>
      <c r="L85" s="21">
        <v>131.30000000000001</v>
      </c>
      <c r="M85" s="21">
        <v>91.6</v>
      </c>
      <c r="N85" s="21">
        <v>127.7</v>
      </c>
      <c r="O85" s="21">
        <v>117.2</v>
      </c>
      <c r="P85" s="21">
        <v>129.5</v>
      </c>
      <c r="Q85" s="21">
        <v>124.6</v>
      </c>
      <c r="R85" s="21">
        <v>1576.1</v>
      </c>
      <c r="S85" s="21">
        <v>122.1</v>
      </c>
      <c r="T85" s="21">
        <v>117.2</v>
      </c>
      <c r="U85" s="21">
        <v>121.3</v>
      </c>
      <c r="V85" s="21">
        <v>360.6</v>
      </c>
      <c r="W85" s="21">
        <v>119.2</v>
      </c>
      <c r="X85" s="21">
        <v>118.4</v>
      </c>
      <c r="Y85" s="21">
        <v>237.60000000000002</v>
      </c>
      <c r="Z85" s="21">
        <v>114.6</v>
      </c>
      <c r="AA85" s="21">
        <v>111.8</v>
      </c>
      <c r="AB85" s="21">
        <f t="shared" si="3"/>
        <v>226.39999999999998</v>
      </c>
      <c r="AC85" s="21">
        <v>114.7</v>
      </c>
      <c r="AD85" s="21">
        <v>108.4</v>
      </c>
      <c r="AE85" s="21">
        <v>115.6</v>
      </c>
      <c r="AF85" s="21">
        <v>121.7</v>
      </c>
      <c r="AG85" s="21">
        <v>130.1</v>
      </c>
      <c r="AH85" s="21">
        <v>114.2</v>
      </c>
      <c r="AI85" s="21">
        <v>119.7</v>
      </c>
    </row>
    <row r="86" spans="1:35" x14ac:dyDescent="0.35">
      <c r="A86" s="21" t="s">
        <v>34</v>
      </c>
      <c r="B86" s="21">
        <v>2015</v>
      </c>
      <c r="C86" s="21" t="s">
        <v>37</v>
      </c>
      <c r="D86" s="17" t="str">
        <f t="shared" si="2"/>
        <v>April-2015</v>
      </c>
      <c r="E86" s="21">
        <v>123.5</v>
      </c>
      <c r="F86" s="21">
        <v>126.4</v>
      </c>
      <c r="G86" s="21">
        <v>114.4</v>
      </c>
      <c r="H86" s="21">
        <v>126.6</v>
      </c>
      <c r="I86" s="21">
        <v>109.2</v>
      </c>
      <c r="J86" s="21">
        <v>132.5</v>
      </c>
      <c r="K86" s="21">
        <v>128.6</v>
      </c>
      <c r="L86" s="21">
        <v>124.8</v>
      </c>
      <c r="M86" s="21">
        <v>95.7</v>
      </c>
      <c r="N86" s="21">
        <v>122.4</v>
      </c>
      <c r="O86" s="21">
        <v>118.5</v>
      </c>
      <c r="P86" s="21">
        <v>129.1</v>
      </c>
      <c r="Q86" s="21">
        <v>124</v>
      </c>
      <c r="R86" s="21">
        <v>1575.7</v>
      </c>
      <c r="S86" s="21">
        <v>124.7</v>
      </c>
      <c r="T86" s="21">
        <v>120.8</v>
      </c>
      <c r="U86" s="21">
        <v>124.1</v>
      </c>
      <c r="V86" s="21">
        <v>369.6</v>
      </c>
      <c r="W86" s="21">
        <v>119.2</v>
      </c>
      <c r="X86" s="21">
        <v>119.7</v>
      </c>
      <c r="Y86" s="21">
        <v>238.9</v>
      </c>
      <c r="Z86" s="21">
        <v>117.1</v>
      </c>
      <c r="AA86" s="21">
        <v>111.7</v>
      </c>
      <c r="AB86" s="21">
        <f t="shared" si="3"/>
        <v>228.8</v>
      </c>
      <c r="AC86" s="21">
        <v>118.7</v>
      </c>
      <c r="AD86" s="21">
        <v>110.1</v>
      </c>
      <c r="AE86" s="21">
        <v>115.9</v>
      </c>
      <c r="AF86" s="21">
        <v>121</v>
      </c>
      <c r="AG86" s="21">
        <v>126.9</v>
      </c>
      <c r="AH86" s="21">
        <v>115.1</v>
      </c>
      <c r="AI86" s="21">
        <v>120.7</v>
      </c>
    </row>
    <row r="87" spans="1:35" x14ac:dyDescent="0.35">
      <c r="A87" s="21" t="s">
        <v>30</v>
      </c>
      <c r="B87" s="21">
        <v>2015</v>
      </c>
      <c r="C87" s="21" t="s">
        <v>38</v>
      </c>
      <c r="D87" s="17" t="str">
        <f t="shared" si="2"/>
        <v>May-2015</v>
      </c>
      <c r="E87" s="21">
        <v>123.5</v>
      </c>
      <c r="F87" s="21">
        <v>127.1</v>
      </c>
      <c r="G87" s="21">
        <v>117.3</v>
      </c>
      <c r="H87" s="21">
        <v>127.7</v>
      </c>
      <c r="I87" s="21">
        <v>112.5</v>
      </c>
      <c r="J87" s="21">
        <v>134.1</v>
      </c>
      <c r="K87" s="21">
        <v>128.5</v>
      </c>
      <c r="L87" s="21">
        <v>124.3</v>
      </c>
      <c r="M87" s="21">
        <v>97.6</v>
      </c>
      <c r="N87" s="21">
        <v>120.7</v>
      </c>
      <c r="O87" s="21">
        <v>120.2</v>
      </c>
      <c r="P87" s="21">
        <v>129.80000000000001</v>
      </c>
      <c r="Q87" s="21">
        <v>124.4</v>
      </c>
      <c r="R87" s="21">
        <v>1587.7</v>
      </c>
      <c r="S87" s="21">
        <v>127.3</v>
      </c>
      <c r="T87" s="21">
        <v>124.1</v>
      </c>
      <c r="U87" s="21">
        <v>126.8</v>
      </c>
      <c r="V87" s="21">
        <v>378.2</v>
      </c>
      <c r="W87" s="21">
        <v>119.6</v>
      </c>
      <c r="X87" s="21">
        <v>121.5</v>
      </c>
      <c r="Y87" s="21">
        <v>241.1</v>
      </c>
      <c r="Z87" s="21">
        <v>119.4</v>
      </c>
      <c r="AA87" s="21">
        <v>112.3</v>
      </c>
      <c r="AB87" s="21">
        <f t="shared" si="3"/>
        <v>231.7</v>
      </c>
      <c r="AC87" s="21">
        <v>121.9</v>
      </c>
      <c r="AD87" s="21">
        <v>113.3</v>
      </c>
      <c r="AE87" s="21">
        <v>116.7</v>
      </c>
      <c r="AF87" s="21">
        <v>120.5</v>
      </c>
      <c r="AG87" s="21">
        <v>126.7</v>
      </c>
      <c r="AH87" s="21">
        <v>116.9</v>
      </c>
      <c r="AI87" s="21">
        <v>122.4</v>
      </c>
    </row>
    <row r="88" spans="1:35" x14ac:dyDescent="0.35">
      <c r="A88" s="21" t="s">
        <v>33</v>
      </c>
      <c r="B88" s="21">
        <v>2015</v>
      </c>
      <c r="C88" s="21" t="s">
        <v>38</v>
      </c>
      <c r="D88" s="17" t="str">
        <f t="shared" si="2"/>
        <v>May-2015</v>
      </c>
      <c r="E88" s="21">
        <v>123.8</v>
      </c>
      <c r="F88" s="21">
        <v>129.69999999999999</v>
      </c>
      <c r="G88" s="21">
        <v>111.3</v>
      </c>
      <c r="H88" s="21">
        <v>126.6</v>
      </c>
      <c r="I88" s="21">
        <v>105.2</v>
      </c>
      <c r="J88" s="21">
        <v>130.80000000000001</v>
      </c>
      <c r="K88" s="21">
        <v>135.6</v>
      </c>
      <c r="L88" s="21">
        <v>142.6</v>
      </c>
      <c r="M88" s="21">
        <v>90.8</v>
      </c>
      <c r="N88" s="21">
        <v>128.80000000000001</v>
      </c>
      <c r="O88" s="21">
        <v>117.7</v>
      </c>
      <c r="P88" s="21">
        <v>129.9</v>
      </c>
      <c r="Q88" s="21">
        <v>126.1</v>
      </c>
      <c r="R88" s="21">
        <v>1598.9</v>
      </c>
      <c r="S88" s="21">
        <v>122.4</v>
      </c>
      <c r="T88" s="21">
        <v>117.4</v>
      </c>
      <c r="U88" s="21">
        <v>121.6</v>
      </c>
      <c r="V88" s="21">
        <v>361.4</v>
      </c>
      <c r="W88" s="21">
        <v>119.6</v>
      </c>
      <c r="X88" s="21">
        <v>118.7</v>
      </c>
      <c r="Y88" s="21">
        <v>238.3</v>
      </c>
      <c r="Z88" s="21">
        <v>114.9</v>
      </c>
      <c r="AA88" s="21">
        <v>112.4</v>
      </c>
      <c r="AB88" s="21">
        <f t="shared" si="3"/>
        <v>227.3</v>
      </c>
      <c r="AC88" s="21">
        <v>114.9</v>
      </c>
      <c r="AD88" s="21">
        <v>110.8</v>
      </c>
      <c r="AE88" s="21">
        <v>116</v>
      </c>
      <c r="AF88" s="21">
        <v>122</v>
      </c>
      <c r="AG88" s="21">
        <v>131.30000000000001</v>
      </c>
      <c r="AH88" s="21">
        <v>115.2</v>
      </c>
      <c r="AI88" s="21">
        <v>120.7</v>
      </c>
    </row>
    <row r="89" spans="1:35" x14ac:dyDescent="0.35">
      <c r="A89" s="21" t="s">
        <v>34</v>
      </c>
      <c r="B89" s="21">
        <v>2015</v>
      </c>
      <c r="C89" s="21" t="s">
        <v>38</v>
      </c>
      <c r="D89" s="17" t="str">
        <f t="shared" si="2"/>
        <v>May-2015</v>
      </c>
      <c r="E89" s="21">
        <v>123.6</v>
      </c>
      <c r="F89" s="21">
        <v>128</v>
      </c>
      <c r="G89" s="21">
        <v>115</v>
      </c>
      <c r="H89" s="21">
        <v>127.3</v>
      </c>
      <c r="I89" s="21">
        <v>109.8</v>
      </c>
      <c r="J89" s="21">
        <v>132.6</v>
      </c>
      <c r="K89" s="21">
        <v>130.9</v>
      </c>
      <c r="L89" s="21">
        <v>130.5</v>
      </c>
      <c r="M89" s="21">
        <v>95.3</v>
      </c>
      <c r="N89" s="21">
        <v>123.4</v>
      </c>
      <c r="O89" s="21">
        <v>119.2</v>
      </c>
      <c r="P89" s="21">
        <v>129.80000000000001</v>
      </c>
      <c r="Q89" s="21">
        <v>125</v>
      </c>
      <c r="R89" s="21">
        <v>1590.4</v>
      </c>
      <c r="S89" s="21">
        <v>125.4</v>
      </c>
      <c r="T89" s="21">
        <v>121.3</v>
      </c>
      <c r="U89" s="21">
        <v>124.7</v>
      </c>
      <c r="V89" s="21">
        <v>371.4</v>
      </c>
      <c r="W89" s="21">
        <v>119.6</v>
      </c>
      <c r="X89" s="21">
        <v>120.2</v>
      </c>
      <c r="Y89" s="21">
        <v>239.8</v>
      </c>
      <c r="Z89" s="21">
        <v>117.7</v>
      </c>
      <c r="AA89" s="21">
        <v>112.3</v>
      </c>
      <c r="AB89" s="21">
        <f t="shared" si="3"/>
        <v>230</v>
      </c>
      <c r="AC89" s="21">
        <v>119.2</v>
      </c>
      <c r="AD89" s="21">
        <v>112</v>
      </c>
      <c r="AE89" s="21">
        <v>116.3</v>
      </c>
      <c r="AF89" s="21">
        <v>121.4</v>
      </c>
      <c r="AG89" s="21">
        <v>127.9</v>
      </c>
      <c r="AH89" s="21">
        <v>116.1</v>
      </c>
      <c r="AI89" s="21">
        <v>121.6</v>
      </c>
    </row>
    <row r="90" spans="1:35" x14ac:dyDescent="0.35">
      <c r="A90" s="21" t="s">
        <v>30</v>
      </c>
      <c r="B90" s="21">
        <v>2015</v>
      </c>
      <c r="C90" s="21" t="s">
        <v>39</v>
      </c>
      <c r="D90" s="17" t="str">
        <f t="shared" si="2"/>
        <v>June-2015</v>
      </c>
      <c r="E90" s="21">
        <v>124.1</v>
      </c>
      <c r="F90" s="21">
        <v>130.4</v>
      </c>
      <c r="G90" s="21">
        <v>122.1</v>
      </c>
      <c r="H90" s="21">
        <v>128.69999999999999</v>
      </c>
      <c r="I90" s="21">
        <v>114.1</v>
      </c>
      <c r="J90" s="21">
        <v>133.19999999999999</v>
      </c>
      <c r="K90" s="21">
        <v>135.19999999999999</v>
      </c>
      <c r="L90" s="21">
        <v>131.9</v>
      </c>
      <c r="M90" s="21">
        <v>96.3</v>
      </c>
      <c r="N90" s="21">
        <v>123</v>
      </c>
      <c r="O90" s="21">
        <v>121.1</v>
      </c>
      <c r="P90" s="21">
        <v>131.19999999999999</v>
      </c>
      <c r="Q90" s="21">
        <v>126.6</v>
      </c>
      <c r="R90" s="21">
        <v>1617.8999999999999</v>
      </c>
      <c r="S90" s="21">
        <v>128.4</v>
      </c>
      <c r="T90" s="21">
        <v>125.1</v>
      </c>
      <c r="U90" s="21">
        <v>128</v>
      </c>
      <c r="V90" s="21">
        <v>381.5</v>
      </c>
      <c r="W90" s="21">
        <v>119</v>
      </c>
      <c r="X90" s="21">
        <v>122.8</v>
      </c>
      <c r="Y90" s="21">
        <v>241.8</v>
      </c>
      <c r="Z90" s="21">
        <v>120.4</v>
      </c>
      <c r="AA90" s="21">
        <v>113</v>
      </c>
      <c r="AB90" s="21">
        <f t="shared" si="3"/>
        <v>233.4</v>
      </c>
      <c r="AC90" s="21">
        <v>122.6</v>
      </c>
      <c r="AD90" s="21">
        <v>114.2</v>
      </c>
      <c r="AE90" s="21">
        <v>117.9</v>
      </c>
      <c r="AF90" s="21">
        <v>122</v>
      </c>
      <c r="AG90" s="21">
        <v>128.19999999999999</v>
      </c>
      <c r="AH90" s="21">
        <v>117.9</v>
      </c>
      <c r="AI90" s="21">
        <v>124.1</v>
      </c>
    </row>
    <row r="91" spans="1:35" x14ac:dyDescent="0.35">
      <c r="A91" s="21" t="s">
        <v>33</v>
      </c>
      <c r="B91" s="21">
        <v>2015</v>
      </c>
      <c r="C91" s="21" t="s">
        <v>39</v>
      </c>
      <c r="D91" s="17" t="str">
        <f t="shared" si="2"/>
        <v>June-2015</v>
      </c>
      <c r="E91" s="21">
        <v>123.6</v>
      </c>
      <c r="F91" s="21">
        <v>134.4</v>
      </c>
      <c r="G91" s="21">
        <v>120.9</v>
      </c>
      <c r="H91" s="21">
        <v>127.3</v>
      </c>
      <c r="I91" s="21">
        <v>106</v>
      </c>
      <c r="J91" s="21">
        <v>132.30000000000001</v>
      </c>
      <c r="K91" s="21">
        <v>146.69999999999999</v>
      </c>
      <c r="L91" s="21">
        <v>148.1</v>
      </c>
      <c r="M91" s="21">
        <v>89.8</v>
      </c>
      <c r="N91" s="21">
        <v>130.5</v>
      </c>
      <c r="O91" s="21">
        <v>118</v>
      </c>
      <c r="P91" s="21">
        <v>130.5</v>
      </c>
      <c r="Q91" s="21">
        <v>128.5</v>
      </c>
      <c r="R91" s="21">
        <v>1636.6</v>
      </c>
      <c r="S91" s="21">
        <v>123.2</v>
      </c>
      <c r="T91" s="21">
        <v>117.6</v>
      </c>
      <c r="U91" s="21">
        <v>122.3</v>
      </c>
      <c r="V91" s="21">
        <v>363.1</v>
      </c>
      <c r="W91" s="21">
        <v>119</v>
      </c>
      <c r="X91" s="21">
        <v>119.2</v>
      </c>
      <c r="Y91" s="21">
        <v>238.2</v>
      </c>
      <c r="Z91" s="21">
        <v>115.4</v>
      </c>
      <c r="AA91" s="21">
        <v>112.5</v>
      </c>
      <c r="AB91" s="21">
        <f t="shared" si="3"/>
        <v>227.9</v>
      </c>
      <c r="AC91" s="21">
        <v>115.1</v>
      </c>
      <c r="AD91" s="21">
        <v>111.7</v>
      </c>
      <c r="AE91" s="21">
        <v>116.2</v>
      </c>
      <c r="AF91" s="21">
        <v>123.8</v>
      </c>
      <c r="AG91" s="21">
        <v>132.1</v>
      </c>
      <c r="AH91" s="21">
        <v>116</v>
      </c>
      <c r="AI91" s="21">
        <v>121.7</v>
      </c>
    </row>
    <row r="92" spans="1:35" x14ac:dyDescent="0.35">
      <c r="A92" s="21" t="s">
        <v>34</v>
      </c>
      <c r="B92" s="21">
        <v>2015</v>
      </c>
      <c r="C92" s="21" t="s">
        <v>39</v>
      </c>
      <c r="D92" s="17" t="str">
        <f t="shared" si="2"/>
        <v>June-2015</v>
      </c>
      <c r="E92" s="21">
        <v>123.9</v>
      </c>
      <c r="F92" s="21">
        <v>131.80000000000001</v>
      </c>
      <c r="G92" s="21">
        <v>121.6</v>
      </c>
      <c r="H92" s="21">
        <v>128.19999999999999</v>
      </c>
      <c r="I92" s="21">
        <v>111.1</v>
      </c>
      <c r="J92" s="21">
        <v>132.80000000000001</v>
      </c>
      <c r="K92" s="21">
        <v>139.1</v>
      </c>
      <c r="L92" s="21">
        <v>137.4</v>
      </c>
      <c r="M92" s="21">
        <v>94.1</v>
      </c>
      <c r="N92" s="21">
        <v>125.5</v>
      </c>
      <c r="O92" s="21">
        <v>119.8</v>
      </c>
      <c r="P92" s="21">
        <v>130.9</v>
      </c>
      <c r="Q92" s="21">
        <v>127.3</v>
      </c>
      <c r="R92" s="21">
        <v>1623.5</v>
      </c>
      <c r="S92" s="21">
        <v>126.4</v>
      </c>
      <c r="T92" s="21">
        <v>122</v>
      </c>
      <c r="U92" s="21">
        <v>125.7</v>
      </c>
      <c r="V92" s="21">
        <v>374.1</v>
      </c>
      <c r="W92" s="21">
        <v>119</v>
      </c>
      <c r="X92" s="21">
        <v>121.1</v>
      </c>
      <c r="Y92" s="21">
        <v>240.1</v>
      </c>
      <c r="Z92" s="21">
        <v>118.5</v>
      </c>
      <c r="AA92" s="21">
        <v>112.8</v>
      </c>
      <c r="AB92" s="21">
        <f t="shared" si="3"/>
        <v>231.3</v>
      </c>
      <c r="AC92" s="21">
        <v>119.8</v>
      </c>
      <c r="AD92" s="21">
        <v>112.9</v>
      </c>
      <c r="AE92" s="21">
        <v>116.9</v>
      </c>
      <c r="AF92" s="21">
        <v>123.1</v>
      </c>
      <c r="AG92" s="21">
        <v>129.19999999999999</v>
      </c>
      <c r="AH92" s="21">
        <v>117</v>
      </c>
      <c r="AI92" s="21">
        <v>123</v>
      </c>
    </row>
    <row r="93" spans="1:35" x14ac:dyDescent="0.35">
      <c r="A93" s="21" t="s">
        <v>30</v>
      </c>
      <c r="B93" s="21">
        <v>2015</v>
      </c>
      <c r="C93" s="21" t="s">
        <v>40</v>
      </c>
      <c r="D93" s="17" t="str">
        <f t="shared" si="2"/>
        <v>July-2015</v>
      </c>
      <c r="E93" s="21">
        <v>124</v>
      </c>
      <c r="F93" s="21">
        <v>131.5</v>
      </c>
      <c r="G93" s="21">
        <v>122</v>
      </c>
      <c r="H93" s="21">
        <v>128.69999999999999</v>
      </c>
      <c r="I93" s="21">
        <v>113.5</v>
      </c>
      <c r="J93" s="21">
        <v>133.30000000000001</v>
      </c>
      <c r="K93" s="21">
        <v>140.80000000000001</v>
      </c>
      <c r="L93" s="21">
        <v>133.80000000000001</v>
      </c>
      <c r="M93" s="21">
        <v>94.1</v>
      </c>
      <c r="N93" s="21">
        <v>123.4</v>
      </c>
      <c r="O93" s="21">
        <v>121</v>
      </c>
      <c r="P93" s="21">
        <v>131.69999999999999</v>
      </c>
      <c r="Q93" s="21">
        <v>127.5</v>
      </c>
      <c r="R93" s="21">
        <v>1625.3</v>
      </c>
      <c r="S93" s="21">
        <v>128.80000000000001</v>
      </c>
      <c r="T93" s="21">
        <v>125.5</v>
      </c>
      <c r="U93" s="21">
        <v>128.30000000000001</v>
      </c>
      <c r="V93" s="21">
        <v>382.6</v>
      </c>
      <c r="W93" s="21">
        <v>119.9</v>
      </c>
      <c r="X93" s="21">
        <v>123</v>
      </c>
      <c r="Y93" s="21">
        <v>242.9</v>
      </c>
      <c r="Z93" s="21">
        <v>120.8</v>
      </c>
      <c r="AA93" s="21">
        <v>112.7</v>
      </c>
      <c r="AB93" s="21">
        <f t="shared" si="3"/>
        <v>233.5</v>
      </c>
      <c r="AC93" s="21">
        <v>123</v>
      </c>
      <c r="AD93" s="21">
        <v>114.1</v>
      </c>
      <c r="AE93" s="21">
        <v>118</v>
      </c>
      <c r="AF93" s="21">
        <v>122.9</v>
      </c>
      <c r="AG93" s="21">
        <v>129.4</v>
      </c>
      <c r="AH93" s="21">
        <v>118.1</v>
      </c>
      <c r="AI93" s="21">
        <v>124.7</v>
      </c>
    </row>
    <row r="94" spans="1:35" x14ac:dyDescent="0.35">
      <c r="A94" s="21" t="s">
        <v>33</v>
      </c>
      <c r="B94" s="21">
        <v>2015</v>
      </c>
      <c r="C94" s="21" t="s">
        <v>40</v>
      </c>
      <c r="D94" s="17" t="str">
        <f t="shared" si="2"/>
        <v>July-2015</v>
      </c>
      <c r="E94" s="21">
        <v>123.2</v>
      </c>
      <c r="F94" s="21">
        <v>134.30000000000001</v>
      </c>
      <c r="G94" s="21">
        <v>119.5</v>
      </c>
      <c r="H94" s="21">
        <v>127.7</v>
      </c>
      <c r="I94" s="21">
        <v>106.3</v>
      </c>
      <c r="J94" s="21">
        <v>132.80000000000001</v>
      </c>
      <c r="K94" s="21">
        <v>153.5</v>
      </c>
      <c r="L94" s="21">
        <v>149.5</v>
      </c>
      <c r="M94" s="21">
        <v>85.7</v>
      </c>
      <c r="N94" s="21">
        <v>131.5</v>
      </c>
      <c r="O94" s="21">
        <v>118.3</v>
      </c>
      <c r="P94" s="21">
        <v>131.1</v>
      </c>
      <c r="Q94" s="21">
        <v>129.5</v>
      </c>
      <c r="R94" s="21">
        <v>1642.8999999999999</v>
      </c>
      <c r="S94" s="21">
        <v>123.5</v>
      </c>
      <c r="T94" s="21">
        <v>117.9</v>
      </c>
      <c r="U94" s="21">
        <v>122.7</v>
      </c>
      <c r="V94" s="21">
        <v>364.1</v>
      </c>
      <c r="W94" s="21">
        <v>119.9</v>
      </c>
      <c r="X94" s="21">
        <v>119.5</v>
      </c>
      <c r="Y94" s="21">
        <v>239.4</v>
      </c>
      <c r="Z94" s="21">
        <v>116</v>
      </c>
      <c r="AA94" s="21">
        <v>111.7</v>
      </c>
      <c r="AB94" s="21">
        <f t="shared" si="3"/>
        <v>227.7</v>
      </c>
      <c r="AC94" s="21">
        <v>115.3</v>
      </c>
      <c r="AD94" s="21">
        <v>111.5</v>
      </c>
      <c r="AE94" s="21">
        <v>116.6</v>
      </c>
      <c r="AF94" s="21">
        <v>125.4</v>
      </c>
      <c r="AG94" s="21">
        <v>133.1</v>
      </c>
      <c r="AH94" s="21">
        <v>116.3</v>
      </c>
      <c r="AI94" s="21">
        <v>122.4</v>
      </c>
    </row>
    <row r="95" spans="1:35" x14ac:dyDescent="0.35">
      <c r="A95" s="21" t="s">
        <v>34</v>
      </c>
      <c r="B95" s="21">
        <v>2015</v>
      </c>
      <c r="C95" s="21" t="s">
        <v>40</v>
      </c>
      <c r="D95" s="17" t="str">
        <f t="shared" si="2"/>
        <v>July-2015</v>
      </c>
      <c r="E95" s="21">
        <v>123.7</v>
      </c>
      <c r="F95" s="21">
        <v>132.5</v>
      </c>
      <c r="G95" s="21">
        <v>121</v>
      </c>
      <c r="H95" s="21">
        <v>128.30000000000001</v>
      </c>
      <c r="I95" s="21">
        <v>110.9</v>
      </c>
      <c r="J95" s="21">
        <v>133.1</v>
      </c>
      <c r="K95" s="21">
        <v>145.1</v>
      </c>
      <c r="L95" s="21">
        <v>139.1</v>
      </c>
      <c r="M95" s="21">
        <v>91.3</v>
      </c>
      <c r="N95" s="21">
        <v>126.1</v>
      </c>
      <c r="O95" s="21">
        <v>119.9</v>
      </c>
      <c r="P95" s="21">
        <v>131.4</v>
      </c>
      <c r="Q95" s="21">
        <v>128.19999999999999</v>
      </c>
      <c r="R95" s="21">
        <v>1630.6000000000001</v>
      </c>
      <c r="S95" s="21">
        <v>126.7</v>
      </c>
      <c r="T95" s="21">
        <v>122.3</v>
      </c>
      <c r="U95" s="21">
        <v>126.1</v>
      </c>
      <c r="V95" s="21">
        <v>375.1</v>
      </c>
      <c r="W95" s="21">
        <v>119.9</v>
      </c>
      <c r="X95" s="21">
        <v>121.3</v>
      </c>
      <c r="Y95" s="21">
        <v>241.2</v>
      </c>
      <c r="Z95" s="21">
        <v>119</v>
      </c>
      <c r="AA95" s="21">
        <v>112.3</v>
      </c>
      <c r="AB95" s="21">
        <f t="shared" si="3"/>
        <v>231.3</v>
      </c>
      <c r="AC95" s="21">
        <v>120.1</v>
      </c>
      <c r="AD95" s="21">
        <v>112.7</v>
      </c>
      <c r="AE95" s="21">
        <v>117.2</v>
      </c>
      <c r="AF95" s="21">
        <v>124.4</v>
      </c>
      <c r="AG95" s="21">
        <v>130.4</v>
      </c>
      <c r="AH95" s="21">
        <v>117.2</v>
      </c>
      <c r="AI95" s="21">
        <v>123.6</v>
      </c>
    </row>
    <row r="96" spans="1:35" x14ac:dyDescent="0.35">
      <c r="A96" s="21" t="s">
        <v>30</v>
      </c>
      <c r="B96" s="21">
        <v>2015</v>
      </c>
      <c r="C96" s="21" t="s">
        <v>41</v>
      </c>
      <c r="D96" s="17" t="str">
        <f t="shared" si="2"/>
        <v>August-2015</v>
      </c>
      <c r="E96" s="21">
        <v>124.7</v>
      </c>
      <c r="F96" s="21">
        <v>131.30000000000001</v>
      </c>
      <c r="G96" s="21">
        <v>121.3</v>
      </c>
      <c r="H96" s="21">
        <v>128.80000000000001</v>
      </c>
      <c r="I96" s="21">
        <v>114</v>
      </c>
      <c r="J96" s="21">
        <v>134.19999999999999</v>
      </c>
      <c r="K96" s="21">
        <v>153.6</v>
      </c>
      <c r="L96" s="21">
        <v>137.9</v>
      </c>
      <c r="M96" s="21">
        <v>93.1</v>
      </c>
      <c r="N96" s="21">
        <v>123.9</v>
      </c>
      <c r="O96" s="21">
        <v>121.5</v>
      </c>
      <c r="P96" s="21">
        <v>132.5</v>
      </c>
      <c r="Q96" s="21">
        <v>129.80000000000001</v>
      </c>
      <c r="R96" s="21">
        <v>1646.6</v>
      </c>
      <c r="S96" s="21">
        <v>129.5</v>
      </c>
      <c r="T96" s="21">
        <v>126.3</v>
      </c>
      <c r="U96" s="21">
        <v>129</v>
      </c>
      <c r="V96" s="21">
        <v>384.8</v>
      </c>
      <c r="W96" s="21">
        <v>120.9</v>
      </c>
      <c r="X96" s="21">
        <v>123.7</v>
      </c>
      <c r="Y96" s="21">
        <v>244.60000000000002</v>
      </c>
      <c r="Z96" s="21">
        <v>121.1</v>
      </c>
      <c r="AA96" s="21">
        <v>112.5</v>
      </c>
      <c r="AB96" s="21">
        <f t="shared" si="3"/>
        <v>233.6</v>
      </c>
      <c r="AC96" s="21">
        <v>123.8</v>
      </c>
      <c r="AD96" s="21">
        <v>113.6</v>
      </c>
      <c r="AE96" s="21">
        <v>118.5</v>
      </c>
      <c r="AF96" s="21">
        <v>123.6</v>
      </c>
      <c r="AG96" s="21">
        <v>130.1</v>
      </c>
      <c r="AH96" s="21">
        <v>118.2</v>
      </c>
      <c r="AI96" s="21">
        <v>126.1</v>
      </c>
    </row>
    <row r="97" spans="1:35" x14ac:dyDescent="0.35">
      <c r="A97" s="21" t="s">
        <v>33</v>
      </c>
      <c r="B97" s="21">
        <v>2015</v>
      </c>
      <c r="C97" s="21" t="s">
        <v>41</v>
      </c>
      <c r="D97" s="17" t="str">
        <f t="shared" si="2"/>
        <v>August-2015</v>
      </c>
      <c r="E97" s="21">
        <v>123.1</v>
      </c>
      <c r="F97" s="21">
        <v>131.69999999999999</v>
      </c>
      <c r="G97" s="21">
        <v>118.1</v>
      </c>
      <c r="H97" s="21">
        <v>128</v>
      </c>
      <c r="I97" s="21">
        <v>106.8</v>
      </c>
      <c r="J97" s="21">
        <v>130.1</v>
      </c>
      <c r="K97" s="21">
        <v>165.5</v>
      </c>
      <c r="L97" s="21">
        <v>156</v>
      </c>
      <c r="M97" s="21">
        <v>85.3</v>
      </c>
      <c r="N97" s="21">
        <v>132.69999999999999</v>
      </c>
      <c r="O97" s="21">
        <v>118.8</v>
      </c>
      <c r="P97" s="21">
        <v>131.69999999999999</v>
      </c>
      <c r="Q97" s="21">
        <v>131.1</v>
      </c>
      <c r="R97" s="21">
        <v>1658.8999999999999</v>
      </c>
      <c r="S97" s="21">
        <v>123.7</v>
      </c>
      <c r="T97" s="21">
        <v>118.2</v>
      </c>
      <c r="U97" s="21">
        <v>122.9</v>
      </c>
      <c r="V97" s="21">
        <v>364.8</v>
      </c>
      <c r="W97" s="21">
        <v>120.9</v>
      </c>
      <c r="X97" s="21">
        <v>120</v>
      </c>
      <c r="Y97" s="21">
        <v>240.9</v>
      </c>
      <c r="Z97" s="21">
        <v>116.6</v>
      </c>
      <c r="AA97" s="21">
        <v>112</v>
      </c>
      <c r="AB97" s="21">
        <f t="shared" si="3"/>
        <v>228.6</v>
      </c>
      <c r="AC97" s="21">
        <v>115.3</v>
      </c>
      <c r="AD97" s="21">
        <v>109.9</v>
      </c>
      <c r="AE97" s="21">
        <v>117.2</v>
      </c>
      <c r="AF97" s="21">
        <v>126.2</v>
      </c>
      <c r="AG97" s="21">
        <v>134.19999999999999</v>
      </c>
      <c r="AH97" s="21">
        <v>116.2</v>
      </c>
      <c r="AI97" s="21">
        <v>123.2</v>
      </c>
    </row>
    <row r="98" spans="1:35" x14ac:dyDescent="0.35">
      <c r="A98" s="21" t="s">
        <v>34</v>
      </c>
      <c r="B98" s="21">
        <v>2015</v>
      </c>
      <c r="C98" s="21" t="s">
        <v>41</v>
      </c>
      <c r="D98" s="17" t="str">
        <f t="shared" si="2"/>
        <v>August-2015</v>
      </c>
      <c r="E98" s="21">
        <v>124.2</v>
      </c>
      <c r="F98" s="21">
        <v>131.4</v>
      </c>
      <c r="G98" s="21">
        <v>120.1</v>
      </c>
      <c r="H98" s="21">
        <v>128.5</v>
      </c>
      <c r="I98" s="21">
        <v>111.4</v>
      </c>
      <c r="J98" s="21">
        <v>132.30000000000001</v>
      </c>
      <c r="K98" s="21">
        <v>157.6</v>
      </c>
      <c r="L98" s="21">
        <v>144</v>
      </c>
      <c r="M98" s="21">
        <v>90.5</v>
      </c>
      <c r="N98" s="21">
        <v>126.8</v>
      </c>
      <c r="O98" s="21">
        <v>120.4</v>
      </c>
      <c r="P98" s="21">
        <v>132.1</v>
      </c>
      <c r="Q98" s="21">
        <v>130.30000000000001</v>
      </c>
      <c r="R98" s="21">
        <v>1649.6</v>
      </c>
      <c r="S98" s="21">
        <v>127.2</v>
      </c>
      <c r="T98" s="21">
        <v>122.9</v>
      </c>
      <c r="U98" s="21">
        <v>126.6</v>
      </c>
      <c r="V98" s="21">
        <v>376.70000000000005</v>
      </c>
      <c r="W98" s="21">
        <v>120.9</v>
      </c>
      <c r="X98" s="21">
        <v>122</v>
      </c>
      <c r="Y98" s="21">
        <v>242.9</v>
      </c>
      <c r="Z98" s="21">
        <v>119.4</v>
      </c>
      <c r="AA98" s="21">
        <v>112.3</v>
      </c>
      <c r="AB98" s="21">
        <f t="shared" si="3"/>
        <v>231.7</v>
      </c>
      <c r="AC98" s="21">
        <v>120.6</v>
      </c>
      <c r="AD98" s="21">
        <v>111.7</v>
      </c>
      <c r="AE98" s="21">
        <v>117.8</v>
      </c>
      <c r="AF98" s="21">
        <v>125.1</v>
      </c>
      <c r="AG98" s="21">
        <v>131.19999999999999</v>
      </c>
      <c r="AH98" s="21">
        <v>117.2</v>
      </c>
      <c r="AI98" s="21">
        <v>124.8</v>
      </c>
    </row>
    <row r="99" spans="1:35" x14ac:dyDescent="0.35">
      <c r="A99" s="21" t="s">
        <v>30</v>
      </c>
      <c r="B99" s="21">
        <v>2015</v>
      </c>
      <c r="C99" s="21" t="s">
        <v>42</v>
      </c>
      <c r="D99" s="17" t="str">
        <f t="shared" si="2"/>
        <v>September-2015</v>
      </c>
      <c r="E99" s="21">
        <v>125.1</v>
      </c>
      <c r="F99" s="21">
        <v>131.1</v>
      </c>
      <c r="G99" s="21">
        <v>120.7</v>
      </c>
      <c r="H99" s="21">
        <v>129.19999999999999</v>
      </c>
      <c r="I99" s="21">
        <v>114.7</v>
      </c>
      <c r="J99" s="21">
        <v>132.30000000000001</v>
      </c>
      <c r="K99" s="21">
        <v>158.9</v>
      </c>
      <c r="L99" s="21">
        <v>142.1</v>
      </c>
      <c r="M99" s="21">
        <v>92.5</v>
      </c>
      <c r="N99" s="21">
        <v>125.4</v>
      </c>
      <c r="O99" s="21">
        <v>121.9</v>
      </c>
      <c r="P99" s="21">
        <v>132.69999999999999</v>
      </c>
      <c r="Q99" s="21">
        <v>131</v>
      </c>
      <c r="R99" s="21">
        <v>1657.6000000000001</v>
      </c>
      <c r="S99" s="21">
        <v>130.4</v>
      </c>
      <c r="T99" s="21">
        <v>126.8</v>
      </c>
      <c r="U99" s="21">
        <v>129.9</v>
      </c>
      <c r="V99" s="21">
        <v>387.1</v>
      </c>
      <c r="W99" s="21">
        <v>121.6</v>
      </c>
      <c r="X99" s="21">
        <v>124.5</v>
      </c>
      <c r="Y99" s="21">
        <v>246.1</v>
      </c>
      <c r="Z99" s="21">
        <v>121.4</v>
      </c>
      <c r="AA99" s="21">
        <v>113.7</v>
      </c>
      <c r="AB99" s="21">
        <f t="shared" si="3"/>
        <v>235.10000000000002</v>
      </c>
      <c r="AC99" s="21">
        <v>123.7</v>
      </c>
      <c r="AD99" s="21">
        <v>113.8</v>
      </c>
      <c r="AE99" s="21">
        <v>119.6</v>
      </c>
      <c r="AF99" s="21">
        <v>124.5</v>
      </c>
      <c r="AG99" s="21">
        <v>131</v>
      </c>
      <c r="AH99" s="21">
        <v>118.8</v>
      </c>
      <c r="AI99" s="21">
        <v>127</v>
      </c>
    </row>
    <row r="100" spans="1:35" x14ac:dyDescent="0.35">
      <c r="A100" s="21" t="s">
        <v>33</v>
      </c>
      <c r="B100" s="21">
        <v>2015</v>
      </c>
      <c r="C100" s="21" t="s">
        <v>42</v>
      </c>
      <c r="D100" s="17" t="str">
        <f t="shared" si="2"/>
        <v>September-2015</v>
      </c>
      <c r="E100" s="21">
        <v>123.4</v>
      </c>
      <c r="F100" s="21">
        <v>129</v>
      </c>
      <c r="G100" s="21">
        <v>115.6</v>
      </c>
      <c r="H100" s="21">
        <v>128.30000000000001</v>
      </c>
      <c r="I100" s="21">
        <v>107</v>
      </c>
      <c r="J100" s="21">
        <v>124</v>
      </c>
      <c r="K100" s="21">
        <v>168.5</v>
      </c>
      <c r="L100" s="21">
        <v>165.4</v>
      </c>
      <c r="M100" s="21">
        <v>86.3</v>
      </c>
      <c r="N100" s="21">
        <v>134.4</v>
      </c>
      <c r="O100" s="21">
        <v>119.1</v>
      </c>
      <c r="P100" s="21">
        <v>132.30000000000001</v>
      </c>
      <c r="Q100" s="21">
        <v>131.5</v>
      </c>
      <c r="R100" s="21">
        <v>1664.8</v>
      </c>
      <c r="S100" s="21">
        <v>124</v>
      </c>
      <c r="T100" s="21">
        <v>118.6</v>
      </c>
      <c r="U100" s="21">
        <v>123.2</v>
      </c>
      <c r="V100" s="21">
        <v>365.8</v>
      </c>
      <c r="W100" s="21">
        <v>121.6</v>
      </c>
      <c r="X100" s="21">
        <v>120.4</v>
      </c>
      <c r="Y100" s="21">
        <v>242</v>
      </c>
      <c r="Z100" s="21">
        <v>117.1</v>
      </c>
      <c r="AA100" s="21">
        <v>112.9</v>
      </c>
      <c r="AB100" s="21">
        <f t="shared" si="3"/>
        <v>230</v>
      </c>
      <c r="AC100" s="21">
        <v>115.1</v>
      </c>
      <c r="AD100" s="21">
        <v>109.1</v>
      </c>
      <c r="AE100" s="21">
        <v>117.3</v>
      </c>
      <c r="AF100" s="21">
        <v>126.5</v>
      </c>
      <c r="AG100" s="21">
        <v>134.69999999999999</v>
      </c>
      <c r="AH100" s="21">
        <v>116.2</v>
      </c>
      <c r="AI100" s="21">
        <v>123.5</v>
      </c>
    </row>
    <row r="101" spans="1:35" x14ac:dyDescent="0.35">
      <c r="A101" s="21" t="s">
        <v>34</v>
      </c>
      <c r="B101" s="21">
        <v>2015</v>
      </c>
      <c r="C101" s="21" t="s">
        <v>42</v>
      </c>
      <c r="D101" s="17" t="str">
        <f t="shared" si="2"/>
        <v>September-2015</v>
      </c>
      <c r="E101" s="21">
        <v>124.6</v>
      </c>
      <c r="F101" s="21">
        <v>130.4</v>
      </c>
      <c r="G101" s="21">
        <v>118.7</v>
      </c>
      <c r="H101" s="21">
        <v>128.9</v>
      </c>
      <c r="I101" s="21">
        <v>111.9</v>
      </c>
      <c r="J101" s="21">
        <v>128.4</v>
      </c>
      <c r="K101" s="21">
        <v>162.19999999999999</v>
      </c>
      <c r="L101" s="21">
        <v>150</v>
      </c>
      <c r="M101" s="21">
        <v>90.4</v>
      </c>
      <c r="N101" s="21">
        <v>128.4</v>
      </c>
      <c r="O101" s="21">
        <v>120.7</v>
      </c>
      <c r="P101" s="21">
        <v>132.5</v>
      </c>
      <c r="Q101" s="21">
        <v>131.19999999999999</v>
      </c>
      <c r="R101" s="21">
        <v>1658.3000000000002</v>
      </c>
      <c r="S101" s="21">
        <v>127.9</v>
      </c>
      <c r="T101" s="21">
        <v>123.4</v>
      </c>
      <c r="U101" s="21">
        <v>127.2</v>
      </c>
      <c r="V101" s="21">
        <v>378.5</v>
      </c>
      <c r="W101" s="21">
        <v>121.6</v>
      </c>
      <c r="X101" s="21">
        <v>122.6</v>
      </c>
      <c r="Y101" s="21">
        <v>244.2</v>
      </c>
      <c r="Z101" s="21">
        <v>119.8</v>
      </c>
      <c r="AA101" s="21">
        <v>113.4</v>
      </c>
      <c r="AB101" s="21">
        <f t="shared" si="3"/>
        <v>233.2</v>
      </c>
      <c r="AC101" s="21">
        <v>120.4</v>
      </c>
      <c r="AD101" s="21">
        <v>111.3</v>
      </c>
      <c r="AE101" s="21">
        <v>118.3</v>
      </c>
      <c r="AF101" s="21">
        <v>125.7</v>
      </c>
      <c r="AG101" s="21">
        <v>132</v>
      </c>
      <c r="AH101" s="21">
        <v>117.5</v>
      </c>
      <c r="AI101" s="21">
        <v>125.4</v>
      </c>
    </row>
    <row r="102" spans="1:35" x14ac:dyDescent="0.35">
      <c r="A102" s="21" t="s">
        <v>30</v>
      </c>
      <c r="B102" s="21">
        <v>2015</v>
      </c>
      <c r="C102" s="21" t="s">
        <v>43</v>
      </c>
      <c r="D102" s="17" t="str">
        <f t="shared" si="2"/>
        <v>October-2015</v>
      </c>
      <c r="E102" s="21">
        <v>125.6</v>
      </c>
      <c r="F102" s="21">
        <v>130.4</v>
      </c>
      <c r="G102" s="21">
        <v>120.8</v>
      </c>
      <c r="H102" s="21">
        <v>129.4</v>
      </c>
      <c r="I102" s="21">
        <v>115.8</v>
      </c>
      <c r="J102" s="21">
        <v>133.19999999999999</v>
      </c>
      <c r="K102" s="21">
        <v>157.69999999999999</v>
      </c>
      <c r="L102" s="21">
        <v>154.19999999999999</v>
      </c>
      <c r="M102" s="21">
        <v>93.7</v>
      </c>
      <c r="N102" s="21">
        <v>126.6</v>
      </c>
      <c r="O102" s="21">
        <v>122.3</v>
      </c>
      <c r="P102" s="21">
        <v>133.1</v>
      </c>
      <c r="Q102" s="21">
        <v>131.80000000000001</v>
      </c>
      <c r="R102" s="21">
        <v>1674.6</v>
      </c>
      <c r="S102" s="21">
        <v>131.1</v>
      </c>
      <c r="T102" s="21">
        <v>127.3</v>
      </c>
      <c r="U102" s="21">
        <v>130.6</v>
      </c>
      <c r="V102" s="21">
        <v>389</v>
      </c>
      <c r="W102" s="21">
        <v>122.4</v>
      </c>
      <c r="X102" s="21">
        <v>125.1</v>
      </c>
      <c r="Y102" s="21">
        <v>247.5</v>
      </c>
      <c r="Z102" s="21">
        <v>122</v>
      </c>
      <c r="AA102" s="21">
        <v>114.2</v>
      </c>
      <c r="AB102" s="21">
        <f t="shared" si="3"/>
        <v>236.2</v>
      </c>
      <c r="AC102" s="21">
        <v>124.4</v>
      </c>
      <c r="AD102" s="21">
        <v>113.8</v>
      </c>
      <c r="AE102" s="21">
        <v>120.1</v>
      </c>
      <c r="AF102" s="21">
        <v>125.1</v>
      </c>
      <c r="AG102" s="21">
        <v>131.5</v>
      </c>
      <c r="AH102" s="21">
        <v>119.2</v>
      </c>
      <c r="AI102" s="21">
        <v>127.7</v>
      </c>
    </row>
    <row r="103" spans="1:35" x14ac:dyDescent="0.35">
      <c r="A103" s="21" t="s">
        <v>33</v>
      </c>
      <c r="B103" s="21">
        <v>2015</v>
      </c>
      <c r="C103" s="21" t="s">
        <v>43</v>
      </c>
      <c r="D103" s="17" t="str">
        <f t="shared" si="2"/>
        <v>October-2015</v>
      </c>
      <c r="E103" s="21">
        <v>123.6</v>
      </c>
      <c r="F103" s="21">
        <v>128.6</v>
      </c>
      <c r="G103" s="21">
        <v>115.9</v>
      </c>
      <c r="H103" s="21">
        <v>128.5</v>
      </c>
      <c r="I103" s="21">
        <v>109</v>
      </c>
      <c r="J103" s="21">
        <v>124.1</v>
      </c>
      <c r="K103" s="21">
        <v>165.8</v>
      </c>
      <c r="L103" s="21">
        <v>187.2</v>
      </c>
      <c r="M103" s="21">
        <v>89.4</v>
      </c>
      <c r="N103" s="21">
        <v>135.80000000000001</v>
      </c>
      <c r="O103" s="21">
        <v>119.4</v>
      </c>
      <c r="P103" s="21">
        <v>132.9</v>
      </c>
      <c r="Q103" s="21">
        <v>132.6</v>
      </c>
      <c r="R103" s="21">
        <v>1692.8000000000002</v>
      </c>
      <c r="S103" s="21">
        <v>124.4</v>
      </c>
      <c r="T103" s="21">
        <v>118.8</v>
      </c>
      <c r="U103" s="21">
        <v>123.6</v>
      </c>
      <c r="V103" s="21">
        <v>366.79999999999995</v>
      </c>
      <c r="W103" s="21">
        <v>122.4</v>
      </c>
      <c r="X103" s="21">
        <v>120.7</v>
      </c>
      <c r="Y103" s="21">
        <v>243.10000000000002</v>
      </c>
      <c r="Z103" s="21">
        <v>117.7</v>
      </c>
      <c r="AA103" s="21">
        <v>113.5</v>
      </c>
      <c r="AB103" s="21">
        <f t="shared" si="3"/>
        <v>231.2</v>
      </c>
      <c r="AC103" s="21">
        <v>114.9</v>
      </c>
      <c r="AD103" s="21">
        <v>109.3</v>
      </c>
      <c r="AE103" s="21">
        <v>117.7</v>
      </c>
      <c r="AF103" s="21">
        <v>126.5</v>
      </c>
      <c r="AG103" s="21">
        <v>135.30000000000001</v>
      </c>
      <c r="AH103" s="21">
        <v>116.5</v>
      </c>
      <c r="AI103" s="21">
        <v>124.2</v>
      </c>
    </row>
    <row r="104" spans="1:35" x14ac:dyDescent="0.35">
      <c r="A104" s="21" t="s">
        <v>34</v>
      </c>
      <c r="B104" s="21">
        <v>2015</v>
      </c>
      <c r="C104" s="21" t="s">
        <v>43</v>
      </c>
      <c r="D104" s="17" t="str">
        <f t="shared" si="2"/>
        <v>October-2015</v>
      </c>
      <c r="E104" s="21">
        <v>125</v>
      </c>
      <c r="F104" s="21">
        <v>129.80000000000001</v>
      </c>
      <c r="G104" s="21">
        <v>118.9</v>
      </c>
      <c r="H104" s="21">
        <v>129.1</v>
      </c>
      <c r="I104" s="21">
        <v>113.3</v>
      </c>
      <c r="J104" s="21">
        <v>129</v>
      </c>
      <c r="K104" s="21">
        <v>160.4</v>
      </c>
      <c r="L104" s="21">
        <v>165.3</v>
      </c>
      <c r="M104" s="21">
        <v>92.3</v>
      </c>
      <c r="N104" s="21">
        <v>129.69999999999999</v>
      </c>
      <c r="O104" s="21">
        <v>121.1</v>
      </c>
      <c r="P104" s="21">
        <v>133</v>
      </c>
      <c r="Q104" s="21">
        <v>132.1</v>
      </c>
      <c r="R104" s="21">
        <v>1678.9999999999998</v>
      </c>
      <c r="S104" s="21">
        <v>128.5</v>
      </c>
      <c r="T104" s="21">
        <v>123.8</v>
      </c>
      <c r="U104" s="21">
        <v>127.8</v>
      </c>
      <c r="V104" s="21">
        <v>380.1</v>
      </c>
      <c r="W104" s="21">
        <v>122.4</v>
      </c>
      <c r="X104" s="21">
        <v>123</v>
      </c>
      <c r="Y104" s="21">
        <v>245.4</v>
      </c>
      <c r="Z104" s="21">
        <v>120.4</v>
      </c>
      <c r="AA104" s="21">
        <v>113.9</v>
      </c>
      <c r="AB104" s="21">
        <f t="shared" si="3"/>
        <v>234.3</v>
      </c>
      <c r="AC104" s="21">
        <v>120.8</v>
      </c>
      <c r="AD104" s="21">
        <v>111.4</v>
      </c>
      <c r="AE104" s="21">
        <v>118.7</v>
      </c>
      <c r="AF104" s="21">
        <v>125.9</v>
      </c>
      <c r="AG104" s="21">
        <v>132.5</v>
      </c>
      <c r="AH104" s="21">
        <v>117.9</v>
      </c>
      <c r="AI104" s="21">
        <v>126.1</v>
      </c>
    </row>
    <row r="105" spans="1:35" x14ac:dyDescent="0.35">
      <c r="A105" s="21" t="s">
        <v>30</v>
      </c>
      <c r="B105" s="21">
        <v>2015</v>
      </c>
      <c r="C105" s="21" t="s">
        <v>45</v>
      </c>
      <c r="D105" s="17" t="str">
        <f t="shared" si="2"/>
        <v>November-2015</v>
      </c>
      <c r="E105" s="21">
        <v>126.1</v>
      </c>
      <c r="F105" s="21">
        <v>130.6</v>
      </c>
      <c r="G105" s="21">
        <v>121.7</v>
      </c>
      <c r="H105" s="21">
        <v>129.5</v>
      </c>
      <c r="I105" s="21">
        <v>117.8</v>
      </c>
      <c r="J105" s="21">
        <v>132.1</v>
      </c>
      <c r="K105" s="21">
        <v>155.19999999999999</v>
      </c>
      <c r="L105" s="21">
        <v>160.80000000000001</v>
      </c>
      <c r="M105" s="21">
        <v>94.5</v>
      </c>
      <c r="N105" s="21">
        <v>128.30000000000001</v>
      </c>
      <c r="O105" s="21">
        <v>123.1</v>
      </c>
      <c r="P105" s="21">
        <v>134.19999999999999</v>
      </c>
      <c r="Q105" s="21">
        <v>132.4</v>
      </c>
      <c r="R105" s="21">
        <v>1686.3</v>
      </c>
      <c r="S105" s="21">
        <v>132.1</v>
      </c>
      <c r="T105" s="21">
        <v>128.19999999999999</v>
      </c>
      <c r="U105" s="21">
        <v>131.5</v>
      </c>
      <c r="V105" s="21">
        <v>391.79999999999995</v>
      </c>
      <c r="W105" s="21">
        <v>122.9</v>
      </c>
      <c r="X105" s="21">
        <v>125.6</v>
      </c>
      <c r="Y105" s="21">
        <v>248.5</v>
      </c>
      <c r="Z105" s="21">
        <v>122.6</v>
      </c>
      <c r="AA105" s="21">
        <v>114.2</v>
      </c>
      <c r="AB105" s="21">
        <f t="shared" si="3"/>
        <v>236.8</v>
      </c>
      <c r="AC105" s="21">
        <v>125.6</v>
      </c>
      <c r="AD105" s="21">
        <v>114</v>
      </c>
      <c r="AE105" s="21">
        <v>120.9</v>
      </c>
      <c r="AF105" s="21">
        <v>125.8</v>
      </c>
      <c r="AG105" s="21">
        <v>132.19999999999999</v>
      </c>
      <c r="AH105" s="21">
        <v>119.6</v>
      </c>
      <c r="AI105" s="21">
        <v>128.30000000000001</v>
      </c>
    </row>
    <row r="106" spans="1:35" x14ac:dyDescent="0.35">
      <c r="A106" s="21" t="s">
        <v>33</v>
      </c>
      <c r="B106" s="21">
        <v>2015</v>
      </c>
      <c r="C106" s="21" t="s">
        <v>45</v>
      </c>
      <c r="D106" s="17" t="str">
        <f t="shared" si="2"/>
        <v>November-2015</v>
      </c>
      <c r="E106" s="21">
        <v>124</v>
      </c>
      <c r="F106" s="21">
        <v>129.80000000000001</v>
      </c>
      <c r="G106" s="21">
        <v>121.5</v>
      </c>
      <c r="H106" s="21">
        <v>128.6</v>
      </c>
      <c r="I106" s="21">
        <v>110</v>
      </c>
      <c r="J106" s="21">
        <v>123.7</v>
      </c>
      <c r="K106" s="21">
        <v>164.6</v>
      </c>
      <c r="L106" s="21">
        <v>191.6</v>
      </c>
      <c r="M106" s="21">
        <v>90.8</v>
      </c>
      <c r="N106" s="21">
        <v>137.1</v>
      </c>
      <c r="O106" s="21">
        <v>119.8</v>
      </c>
      <c r="P106" s="21">
        <v>133.69999999999999</v>
      </c>
      <c r="Q106" s="21">
        <v>133.30000000000001</v>
      </c>
      <c r="R106" s="21">
        <v>1708.4999999999998</v>
      </c>
      <c r="S106" s="21">
        <v>125</v>
      </c>
      <c r="T106" s="21">
        <v>119.3</v>
      </c>
      <c r="U106" s="21">
        <v>124.2</v>
      </c>
      <c r="V106" s="21">
        <v>368.5</v>
      </c>
      <c r="W106" s="21">
        <v>122.9</v>
      </c>
      <c r="X106" s="21">
        <v>121</v>
      </c>
      <c r="Y106" s="21">
        <v>243.9</v>
      </c>
      <c r="Z106" s="21">
        <v>118.1</v>
      </c>
      <c r="AA106" s="21">
        <v>113.3</v>
      </c>
      <c r="AB106" s="21">
        <f t="shared" si="3"/>
        <v>231.39999999999998</v>
      </c>
      <c r="AC106" s="21">
        <v>115.1</v>
      </c>
      <c r="AD106" s="21">
        <v>109.3</v>
      </c>
      <c r="AE106" s="21">
        <v>117.9</v>
      </c>
      <c r="AF106" s="21">
        <v>126.6</v>
      </c>
      <c r="AG106" s="21">
        <v>137.6</v>
      </c>
      <c r="AH106" s="21">
        <v>116.6</v>
      </c>
      <c r="AI106" s="21">
        <v>124.6</v>
      </c>
    </row>
    <row r="107" spans="1:35" x14ac:dyDescent="0.35">
      <c r="A107" s="21" t="s">
        <v>34</v>
      </c>
      <c r="B107" s="21">
        <v>2015</v>
      </c>
      <c r="C107" s="21" t="s">
        <v>45</v>
      </c>
      <c r="D107" s="17" t="str">
        <f t="shared" si="2"/>
        <v>November-2015</v>
      </c>
      <c r="E107" s="21">
        <v>125.4</v>
      </c>
      <c r="F107" s="21">
        <v>130.30000000000001</v>
      </c>
      <c r="G107" s="21">
        <v>121.6</v>
      </c>
      <c r="H107" s="21">
        <v>129.19999999999999</v>
      </c>
      <c r="I107" s="21">
        <v>114.9</v>
      </c>
      <c r="J107" s="21">
        <v>128.19999999999999</v>
      </c>
      <c r="K107" s="21">
        <v>158.4</v>
      </c>
      <c r="L107" s="21">
        <v>171.2</v>
      </c>
      <c r="M107" s="21">
        <v>93.3</v>
      </c>
      <c r="N107" s="21">
        <v>131.19999999999999</v>
      </c>
      <c r="O107" s="21">
        <v>121.7</v>
      </c>
      <c r="P107" s="21">
        <v>134</v>
      </c>
      <c r="Q107" s="21">
        <v>132.69999999999999</v>
      </c>
      <c r="R107" s="21">
        <v>1692.1</v>
      </c>
      <c r="S107" s="21">
        <v>129.30000000000001</v>
      </c>
      <c r="T107" s="21">
        <v>124.5</v>
      </c>
      <c r="U107" s="21">
        <v>128.6</v>
      </c>
      <c r="V107" s="21">
        <v>382.4</v>
      </c>
      <c r="W107" s="21">
        <v>122.9</v>
      </c>
      <c r="X107" s="21">
        <v>123.4</v>
      </c>
      <c r="Y107" s="21">
        <v>246.3</v>
      </c>
      <c r="Z107" s="21">
        <v>120.9</v>
      </c>
      <c r="AA107" s="21">
        <v>113.8</v>
      </c>
      <c r="AB107" s="21">
        <f t="shared" si="3"/>
        <v>234.7</v>
      </c>
      <c r="AC107" s="21">
        <v>121.6</v>
      </c>
      <c r="AD107" s="21">
        <v>111.5</v>
      </c>
      <c r="AE107" s="21">
        <v>119.2</v>
      </c>
      <c r="AF107" s="21">
        <v>126.3</v>
      </c>
      <c r="AG107" s="21">
        <v>133.6</v>
      </c>
      <c r="AH107" s="21">
        <v>118.1</v>
      </c>
      <c r="AI107" s="21">
        <v>126.6</v>
      </c>
    </row>
    <row r="108" spans="1:35" x14ac:dyDescent="0.35">
      <c r="A108" s="21" t="s">
        <v>30</v>
      </c>
      <c r="B108" s="21">
        <v>2015</v>
      </c>
      <c r="C108" s="21" t="s">
        <v>46</v>
      </c>
      <c r="D108" s="17" t="str">
        <f t="shared" si="2"/>
        <v>December-2015</v>
      </c>
      <c r="E108" s="21">
        <v>126.3</v>
      </c>
      <c r="F108" s="21">
        <v>131.30000000000001</v>
      </c>
      <c r="G108" s="21">
        <v>123.3</v>
      </c>
      <c r="H108" s="21">
        <v>129.80000000000001</v>
      </c>
      <c r="I108" s="21">
        <v>118.3</v>
      </c>
      <c r="J108" s="21">
        <v>131.6</v>
      </c>
      <c r="K108" s="21">
        <v>145.5</v>
      </c>
      <c r="L108" s="21">
        <v>162.1</v>
      </c>
      <c r="M108" s="21">
        <v>95.4</v>
      </c>
      <c r="N108" s="21">
        <v>128.9</v>
      </c>
      <c r="O108" s="21">
        <v>123.3</v>
      </c>
      <c r="P108" s="21">
        <v>135.1</v>
      </c>
      <c r="Q108" s="21">
        <v>131.4</v>
      </c>
      <c r="R108" s="21">
        <v>1682.3000000000002</v>
      </c>
      <c r="S108" s="21">
        <v>132.5</v>
      </c>
      <c r="T108" s="21">
        <v>128.5</v>
      </c>
      <c r="U108" s="21">
        <v>131.9</v>
      </c>
      <c r="V108" s="21">
        <v>392.9</v>
      </c>
      <c r="W108" s="21">
        <v>122.4</v>
      </c>
      <c r="X108" s="21">
        <v>126</v>
      </c>
      <c r="Y108" s="21">
        <v>248.4</v>
      </c>
      <c r="Z108" s="21">
        <v>123.1</v>
      </c>
      <c r="AA108" s="21">
        <v>114.1</v>
      </c>
      <c r="AB108" s="21">
        <f t="shared" si="3"/>
        <v>237.2</v>
      </c>
      <c r="AC108" s="21">
        <v>125.7</v>
      </c>
      <c r="AD108" s="21">
        <v>114</v>
      </c>
      <c r="AE108" s="21">
        <v>121.6</v>
      </c>
      <c r="AF108" s="21">
        <v>125.6</v>
      </c>
      <c r="AG108" s="21">
        <v>133.1</v>
      </c>
      <c r="AH108" s="21">
        <v>119.8</v>
      </c>
      <c r="AI108" s="21">
        <v>127.9</v>
      </c>
    </row>
    <row r="109" spans="1:35" x14ac:dyDescent="0.35">
      <c r="A109" s="21" t="s">
        <v>33</v>
      </c>
      <c r="B109" s="21">
        <v>2015</v>
      </c>
      <c r="C109" s="21" t="s">
        <v>46</v>
      </c>
      <c r="D109" s="17" t="str">
        <f t="shared" si="2"/>
        <v>December-2015</v>
      </c>
      <c r="E109" s="21">
        <v>124.3</v>
      </c>
      <c r="F109" s="21">
        <v>131.69999999999999</v>
      </c>
      <c r="G109" s="21">
        <v>127.1</v>
      </c>
      <c r="H109" s="21">
        <v>128.6</v>
      </c>
      <c r="I109" s="21">
        <v>110</v>
      </c>
      <c r="J109" s="21">
        <v>120.8</v>
      </c>
      <c r="K109" s="21">
        <v>149</v>
      </c>
      <c r="L109" s="21">
        <v>190.1</v>
      </c>
      <c r="M109" s="21">
        <v>92.7</v>
      </c>
      <c r="N109" s="21">
        <v>138.6</v>
      </c>
      <c r="O109" s="21">
        <v>120.2</v>
      </c>
      <c r="P109" s="21">
        <v>134.19999999999999</v>
      </c>
      <c r="Q109" s="21">
        <v>131.5</v>
      </c>
      <c r="R109" s="21">
        <v>1698.8</v>
      </c>
      <c r="S109" s="21">
        <v>125.4</v>
      </c>
      <c r="T109" s="21">
        <v>119.5</v>
      </c>
      <c r="U109" s="21">
        <v>124.5</v>
      </c>
      <c r="V109" s="21">
        <v>369.4</v>
      </c>
      <c r="W109" s="21">
        <v>122.4</v>
      </c>
      <c r="X109" s="21">
        <v>121</v>
      </c>
      <c r="Y109" s="21">
        <v>243.4</v>
      </c>
      <c r="Z109" s="21">
        <v>118.6</v>
      </c>
      <c r="AA109" s="21">
        <v>113.2</v>
      </c>
      <c r="AB109" s="21">
        <f t="shared" si="3"/>
        <v>231.8</v>
      </c>
      <c r="AC109" s="21">
        <v>116</v>
      </c>
      <c r="AD109" s="21">
        <v>109.3</v>
      </c>
      <c r="AE109" s="21">
        <v>118.1</v>
      </c>
      <c r="AF109" s="21">
        <v>126.6</v>
      </c>
      <c r="AG109" s="21">
        <v>138.19999999999999</v>
      </c>
      <c r="AH109" s="21">
        <v>116.7</v>
      </c>
      <c r="AI109" s="21">
        <v>124</v>
      </c>
    </row>
    <row r="110" spans="1:35" x14ac:dyDescent="0.35">
      <c r="A110" s="21" t="s">
        <v>34</v>
      </c>
      <c r="B110" s="21">
        <v>2015</v>
      </c>
      <c r="C110" s="21" t="s">
        <v>46</v>
      </c>
      <c r="D110" s="17" t="str">
        <f t="shared" si="2"/>
        <v>December-2015</v>
      </c>
      <c r="E110" s="21">
        <v>125.7</v>
      </c>
      <c r="F110" s="21">
        <v>131.4</v>
      </c>
      <c r="G110" s="21">
        <v>124.8</v>
      </c>
      <c r="H110" s="21">
        <v>129.4</v>
      </c>
      <c r="I110" s="21">
        <v>115.3</v>
      </c>
      <c r="J110" s="21">
        <v>126.6</v>
      </c>
      <c r="K110" s="21">
        <v>146.69999999999999</v>
      </c>
      <c r="L110" s="21">
        <v>171.5</v>
      </c>
      <c r="M110" s="21">
        <v>94.5</v>
      </c>
      <c r="N110" s="21">
        <v>132.1</v>
      </c>
      <c r="O110" s="21">
        <v>122</v>
      </c>
      <c r="P110" s="21">
        <v>134.69999999999999</v>
      </c>
      <c r="Q110" s="21">
        <v>131.4</v>
      </c>
      <c r="R110" s="21">
        <v>1686.1000000000001</v>
      </c>
      <c r="S110" s="21">
        <v>129.69999999999999</v>
      </c>
      <c r="T110" s="21">
        <v>124.8</v>
      </c>
      <c r="U110" s="21">
        <v>129</v>
      </c>
      <c r="V110" s="21">
        <v>383.5</v>
      </c>
      <c r="W110" s="21">
        <v>122.4</v>
      </c>
      <c r="X110" s="21">
        <v>123.6</v>
      </c>
      <c r="Y110" s="21">
        <v>246</v>
      </c>
      <c r="Z110" s="21">
        <v>121.4</v>
      </c>
      <c r="AA110" s="21">
        <v>113.7</v>
      </c>
      <c r="AB110" s="21">
        <f t="shared" si="3"/>
        <v>235.10000000000002</v>
      </c>
      <c r="AC110" s="21">
        <v>122</v>
      </c>
      <c r="AD110" s="21">
        <v>111.5</v>
      </c>
      <c r="AE110" s="21">
        <v>119.6</v>
      </c>
      <c r="AF110" s="21">
        <v>126.2</v>
      </c>
      <c r="AG110" s="21">
        <v>134.5</v>
      </c>
      <c r="AH110" s="21">
        <v>118.3</v>
      </c>
      <c r="AI110" s="21">
        <v>126.1</v>
      </c>
    </row>
    <row r="111" spans="1:35" x14ac:dyDescent="0.35">
      <c r="A111" s="21" t="s">
        <v>30</v>
      </c>
      <c r="B111" s="21">
        <v>2016</v>
      </c>
      <c r="C111" s="21" t="s">
        <v>31</v>
      </c>
      <c r="D111" s="17" t="str">
        <f t="shared" si="2"/>
        <v>January-2016</v>
      </c>
      <c r="E111" s="21">
        <v>126.8</v>
      </c>
      <c r="F111" s="21">
        <v>133.19999999999999</v>
      </c>
      <c r="G111" s="21">
        <v>126.5</v>
      </c>
      <c r="H111" s="21">
        <v>130.30000000000001</v>
      </c>
      <c r="I111" s="21">
        <v>118.9</v>
      </c>
      <c r="J111" s="21">
        <v>131.6</v>
      </c>
      <c r="K111" s="21">
        <v>140.1</v>
      </c>
      <c r="L111" s="21">
        <v>163.80000000000001</v>
      </c>
      <c r="M111" s="21">
        <v>97.7</v>
      </c>
      <c r="N111" s="21">
        <v>129.6</v>
      </c>
      <c r="O111" s="21">
        <v>124.3</v>
      </c>
      <c r="P111" s="21">
        <v>135.9</v>
      </c>
      <c r="Q111" s="21">
        <v>131.4</v>
      </c>
      <c r="R111" s="21">
        <v>1690.1000000000001</v>
      </c>
      <c r="S111" s="21">
        <v>133.19999999999999</v>
      </c>
      <c r="T111" s="21">
        <v>128.9</v>
      </c>
      <c r="U111" s="21">
        <v>132.6</v>
      </c>
      <c r="V111" s="21">
        <v>394.70000000000005</v>
      </c>
      <c r="W111" s="21">
        <v>123.4</v>
      </c>
      <c r="X111" s="21">
        <v>126.6</v>
      </c>
      <c r="Y111" s="21">
        <v>250</v>
      </c>
      <c r="Z111" s="21">
        <v>123.7</v>
      </c>
      <c r="AA111" s="21">
        <v>114.9</v>
      </c>
      <c r="AB111" s="21">
        <f t="shared" si="3"/>
        <v>238.60000000000002</v>
      </c>
      <c r="AC111" s="21">
        <v>126.2</v>
      </c>
      <c r="AD111" s="21">
        <v>113.6</v>
      </c>
      <c r="AE111" s="21">
        <v>121.4</v>
      </c>
      <c r="AF111" s="21">
        <v>126.2</v>
      </c>
      <c r="AG111" s="21">
        <v>133.6</v>
      </c>
      <c r="AH111" s="21">
        <v>120.1</v>
      </c>
      <c r="AI111" s="21">
        <v>128.1</v>
      </c>
    </row>
    <row r="112" spans="1:35" x14ac:dyDescent="0.35">
      <c r="A112" s="21" t="s">
        <v>33</v>
      </c>
      <c r="B112" s="21">
        <v>2016</v>
      </c>
      <c r="C112" s="21" t="s">
        <v>31</v>
      </c>
      <c r="D112" s="17" t="str">
        <f t="shared" si="2"/>
        <v>January-2016</v>
      </c>
      <c r="E112" s="21">
        <v>124.7</v>
      </c>
      <c r="F112" s="21">
        <v>135.9</v>
      </c>
      <c r="G112" s="21">
        <v>132</v>
      </c>
      <c r="H112" s="21">
        <v>129.19999999999999</v>
      </c>
      <c r="I112" s="21">
        <v>109.7</v>
      </c>
      <c r="J112" s="21">
        <v>119</v>
      </c>
      <c r="K112" s="21">
        <v>144.1</v>
      </c>
      <c r="L112" s="21">
        <v>184.2</v>
      </c>
      <c r="M112" s="21">
        <v>96.7</v>
      </c>
      <c r="N112" s="21">
        <v>139.5</v>
      </c>
      <c r="O112" s="21">
        <v>120.5</v>
      </c>
      <c r="P112" s="21">
        <v>134.69999999999999</v>
      </c>
      <c r="Q112" s="21">
        <v>131.19999999999999</v>
      </c>
      <c r="R112" s="21">
        <v>1701.4</v>
      </c>
      <c r="S112" s="21">
        <v>125.8</v>
      </c>
      <c r="T112" s="21">
        <v>119.8</v>
      </c>
      <c r="U112" s="21">
        <v>124.9</v>
      </c>
      <c r="V112" s="21">
        <v>370.5</v>
      </c>
      <c r="W112" s="21">
        <v>123.4</v>
      </c>
      <c r="X112" s="21">
        <v>121.6</v>
      </c>
      <c r="Y112" s="21">
        <v>245</v>
      </c>
      <c r="Z112" s="21">
        <v>119.1</v>
      </c>
      <c r="AA112" s="21">
        <v>114</v>
      </c>
      <c r="AB112" s="21">
        <f t="shared" si="3"/>
        <v>233.1</v>
      </c>
      <c r="AC112" s="21">
        <v>116.9</v>
      </c>
      <c r="AD112" s="21">
        <v>108.9</v>
      </c>
      <c r="AE112" s="21">
        <v>118.5</v>
      </c>
      <c r="AF112" s="21">
        <v>126.4</v>
      </c>
      <c r="AG112" s="21">
        <v>139.5</v>
      </c>
      <c r="AH112" s="21">
        <v>116.8</v>
      </c>
      <c r="AI112" s="21">
        <v>124.2</v>
      </c>
    </row>
    <row r="113" spans="1:35" x14ac:dyDescent="0.35">
      <c r="A113" s="21" t="s">
        <v>34</v>
      </c>
      <c r="B113" s="21">
        <v>2016</v>
      </c>
      <c r="C113" s="21" t="s">
        <v>31</v>
      </c>
      <c r="D113" s="17" t="str">
        <f t="shared" si="2"/>
        <v>January-2016</v>
      </c>
      <c r="E113" s="21">
        <v>126.1</v>
      </c>
      <c r="F113" s="21">
        <v>134.1</v>
      </c>
      <c r="G113" s="21">
        <v>128.6</v>
      </c>
      <c r="H113" s="21">
        <v>129.9</v>
      </c>
      <c r="I113" s="21">
        <v>115.5</v>
      </c>
      <c r="J113" s="21">
        <v>125.7</v>
      </c>
      <c r="K113" s="21">
        <v>141.5</v>
      </c>
      <c r="L113" s="21">
        <v>170.7</v>
      </c>
      <c r="M113" s="21">
        <v>97.4</v>
      </c>
      <c r="N113" s="21">
        <v>132.9</v>
      </c>
      <c r="O113" s="21">
        <v>122.7</v>
      </c>
      <c r="P113" s="21">
        <v>135.30000000000001</v>
      </c>
      <c r="Q113" s="21">
        <v>131.30000000000001</v>
      </c>
      <c r="R113" s="21">
        <v>1691.7</v>
      </c>
      <c r="S113" s="21">
        <v>130.30000000000001</v>
      </c>
      <c r="T113" s="21">
        <v>125.1</v>
      </c>
      <c r="U113" s="21">
        <v>129.5</v>
      </c>
      <c r="V113" s="21">
        <v>384.9</v>
      </c>
      <c r="W113" s="21">
        <v>123.4</v>
      </c>
      <c r="X113" s="21">
        <v>124.2</v>
      </c>
      <c r="Y113" s="21">
        <v>247.60000000000002</v>
      </c>
      <c r="Z113" s="21">
        <v>122</v>
      </c>
      <c r="AA113" s="21">
        <v>114.5</v>
      </c>
      <c r="AB113" s="21">
        <f t="shared" si="3"/>
        <v>236.5</v>
      </c>
      <c r="AC113" s="21">
        <v>122.7</v>
      </c>
      <c r="AD113" s="21">
        <v>111.1</v>
      </c>
      <c r="AE113" s="21">
        <v>119.8</v>
      </c>
      <c r="AF113" s="21">
        <v>126.3</v>
      </c>
      <c r="AG113" s="21">
        <v>135.19999999999999</v>
      </c>
      <c r="AH113" s="21">
        <v>118.5</v>
      </c>
      <c r="AI113" s="21">
        <v>126.3</v>
      </c>
    </row>
    <row r="114" spans="1:35" x14ac:dyDescent="0.35">
      <c r="A114" s="21" t="s">
        <v>30</v>
      </c>
      <c r="B114" s="21">
        <v>2016</v>
      </c>
      <c r="C114" s="21" t="s">
        <v>35</v>
      </c>
      <c r="D114" s="17" t="str">
        <f t="shared" si="2"/>
        <v>February-2016</v>
      </c>
      <c r="E114" s="21">
        <v>127.1</v>
      </c>
      <c r="F114" s="21">
        <v>133.69999999999999</v>
      </c>
      <c r="G114" s="21">
        <v>127.7</v>
      </c>
      <c r="H114" s="21">
        <v>130.69999999999999</v>
      </c>
      <c r="I114" s="21">
        <v>118.5</v>
      </c>
      <c r="J114" s="21">
        <v>130.4</v>
      </c>
      <c r="K114" s="21">
        <v>130.9</v>
      </c>
      <c r="L114" s="21">
        <v>162.80000000000001</v>
      </c>
      <c r="M114" s="21">
        <v>98.7</v>
      </c>
      <c r="N114" s="21">
        <v>130.6</v>
      </c>
      <c r="O114" s="21">
        <v>124.8</v>
      </c>
      <c r="P114" s="21">
        <v>136.4</v>
      </c>
      <c r="Q114" s="21">
        <v>130.30000000000001</v>
      </c>
      <c r="R114" s="21">
        <v>1682.6</v>
      </c>
      <c r="S114" s="21">
        <v>133.9</v>
      </c>
      <c r="T114" s="21">
        <v>129.80000000000001</v>
      </c>
      <c r="U114" s="21">
        <v>133.4</v>
      </c>
      <c r="V114" s="21">
        <v>397.1</v>
      </c>
      <c r="W114" s="21">
        <v>124.4</v>
      </c>
      <c r="X114" s="21">
        <v>127.1</v>
      </c>
      <c r="Y114" s="21">
        <v>251.5</v>
      </c>
      <c r="Z114" s="21">
        <v>124.3</v>
      </c>
      <c r="AA114" s="21">
        <v>116.8</v>
      </c>
      <c r="AB114" s="21">
        <f t="shared" si="3"/>
        <v>241.1</v>
      </c>
      <c r="AC114" s="21">
        <v>127.5</v>
      </c>
      <c r="AD114" s="21">
        <v>113.9</v>
      </c>
      <c r="AE114" s="21">
        <v>122.3</v>
      </c>
      <c r="AF114" s="21">
        <v>127.1</v>
      </c>
      <c r="AG114" s="21">
        <v>134.4</v>
      </c>
      <c r="AH114" s="21">
        <v>120.9</v>
      </c>
      <c r="AI114" s="21">
        <v>127.9</v>
      </c>
    </row>
    <row r="115" spans="1:35" x14ac:dyDescent="0.35">
      <c r="A115" s="21" t="s">
        <v>33</v>
      </c>
      <c r="B115" s="21">
        <v>2016</v>
      </c>
      <c r="C115" s="21" t="s">
        <v>35</v>
      </c>
      <c r="D115" s="17" t="str">
        <f t="shared" si="2"/>
        <v>February-2016</v>
      </c>
      <c r="E115" s="21">
        <v>124.8</v>
      </c>
      <c r="F115" s="21">
        <v>135.1</v>
      </c>
      <c r="G115" s="21">
        <v>130.30000000000001</v>
      </c>
      <c r="H115" s="21">
        <v>129.6</v>
      </c>
      <c r="I115" s="21">
        <v>108.4</v>
      </c>
      <c r="J115" s="21">
        <v>118.6</v>
      </c>
      <c r="K115" s="21">
        <v>129.19999999999999</v>
      </c>
      <c r="L115" s="21">
        <v>176.4</v>
      </c>
      <c r="M115" s="21">
        <v>99.1</v>
      </c>
      <c r="N115" s="21">
        <v>139.69999999999999</v>
      </c>
      <c r="O115" s="21">
        <v>120.6</v>
      </c>
      <c r="P115" s="21">
        <v>135.19999999999999</v>
      </c>
      <c r="Q115" s="21">
        <v>129.1</v>
      </c>
      <c r="R115" s="21">
        <v>1676.1</v>
      </c>
      <c r="S115" s="21">
        <v>126.2</v>
      </c>
      <c r="T115" s="21">
        <v>120.1</v>
      </c>
      <c r="U115" s="21">
        <v>125.3</v>
      </c>
      <c r="V115" s="21">
        <v>371.6</v>
      </c>
      <c r="W115" s="21">
        <v>124.4</v>
      </c>
      <c r="X115" s="21">
        <v>121.8</v>
      </c>
      <c r="Y115" s="21">
        <v>246.2</v>
      </c>
      <c r="Z115" s="21">
        <v>119.5</v>
      </c>
      <c r="AA115" s="21">
        <v>116.2</v>
      </c>
      <c r="AB115" s="21">
        <f t="shared" si="3"/>
        <v>235.7</v>
      </c>
      <c r="AC115" s="21">
        <v>116</v>
      </c>
      <c r="AD115" s="21">
        <v>109.1</v>
      </c>
      <c r="AE115" s="21">
        <v>118.8</v>
      </c>
      <c r="AF115" s="21">
        <v>126.3</v>
      </c>
      <c r="AG115" s="21">
        <v>140</v>
      </c>
      <c r="AH115" s="21">
        <v>117.2</v>
      </c>
      <c r="AI115" s="21">
        <v>123.8</v>
      </c>
    </row>
    <row r="116" spans="1:35" x14ac:dyDescent="0.35">
      <c r="A116" s="21" t="s">
        <v>34</v>
      </c>
      <c r="B116" s="21">
        <v>2016</v>
      </c>
      <c r="C116" s="21" t="s">
        <v>35</v>
      </c>
      <c r="D116" s="17" t="str">
        <f t="shared" si="2"/>
        <v>February-2016</v>
      </c>
      <c r="E116" s="21">
        <v>126.4</v>
      </c>
      <c r="F116" s="21">
        <v>134.19999999999999</v>
      </c>
      <c r="G116" s="21">
        <v>128.69999999999999</v>
      </c>
      <c r="H116" s="21">
        <v>130.30000000000001</v>
      </c>
      <c r="I116" s="21">
        <v>114.8</v>
      </c>
      <c r="J116" s="21">
        <v>124.9</v>
      </c>
      <c r="K116" s="21">
        <v>130.30000000000001</v>
      </c>
      <c r="L116" s="21">
        <v>167.4</v>
      </c>
      <c r="M116" s="21">
        <v>98.8</v>
      </c>
      <c r="N116" s="21">
        <v>133.6</v>
      </c>
      <c r="O116" s="21">
        <v>123</v>
      </c>
      <c r="P116" s="21">
        <v>135.80000000000001</v>
      </c>
      <c r="Q116" s="21">
        <v>129.9</v>
      </c>
      <c r="R116" s="21">
        <v>1678.1</v>
      </c>
      <c r="S116" s="21">
        <v>130.9</v>
      </c>
      <c r="T116" s="21">
        <v>125.8</v>
      </c>
      <c r="U116" s="21">
        <v>130.19999999999999</v>
      </c>
      <c r="V116" s="21">
        <v>386.9</v>
      </c>
      <c r="W116" s="21">
        <v>124.4</v>
      </c>
      <c r="X116" s="21">
        <v>124.6</v>
      </c>
      <c r="Y116" s="21">
        <v>249</v>
      </c>
      <c r="Z116" s="21">
        <v>122.5</v>
      </c>
      <c r="AA116" s="21">
        <v>116.6</v>
      </c>
      <c r="AB116" s="21">
        <f t="shared" si="3"/>
        <v>239.1</v>
      </c>
      <c r="AC116" s="21">
        <v>123.1</v>
      </c>
      <c r="AD116" s="21">
        <v>111.4</v>
      </c>
      <c r="AE116" s="21">
        <v>120.3</v>
      </c>
      <c r="AF116" s="21">
        <v>126.6</v>
      </c>
      <c r="AG116" s="21">
        <v>135.9</v>
      </c>
      <c r="AH116" s="21">
        <v>119.1</v>
      </c>
      <c r="AI116" s="21">
        <v>126</v>
      </c>
    </row>
    <row r="117" spans="1:35" x14ac:dyDescent="0.35">
      <c r="A117" s="21" t="s">
        <v>30</v>
      </c>
      <c r="B117" s="21">
        <v>2016</v>
      </c>
      <c r="C117" s="21" t="s">
        <v>36</v>
      </c>
      <c r="D117" s="17" t="str">
        <f t="shared" si="2"/>
        <v>March-2016</v>
      </c>
      <c r="E117" s="21">
        <v>127.3</v>
      </c>
      <c r="F117" s="21">
        <v>134.4</v>
      </c>
      <c r="G117" s="21">
        <v>125.1</v>
      </c>
      <c r="H117" s="21">
        <v>130.5</v>
      </c>
      <c r="I117" s="21">
        <v>118.3</v>
      </c>
      <c r="J117" s="21">
        <v>131.69999999999999</v>
      </c>
      <c r="K117" s="21">
        <v>130.69999999999999</v>
      </c>
      <c r="L117" s="21">
        <v>161.19999999999999</v>
      </c>
      <c r="M117" s="21">
        <v>100.4</v>
      </c>
      <c r="N117" s="21">
        <v>130.80000000000001</v>
      </c>
      <c r="O117" s="21">
        <v>124.9</v>
      </c>
      <c r="P117" s="21">
        <v>137</v>
      </c>
      <c r="Q117" s="21">
        <v>130.4</v>
      </c>
      <c r="R117" s="21">
        <v>1682.7000000000003</v>
      </c>
      <c r="S117" s="21">
        <v>134.4</v>
      </c>
      <c r="T117" s="21">
        <v>130.19999999999999</v>
      </c>
      <c r="U117" s="21">
        <v>133.80000000000001</v>
      </c>
      <c r="V117" s="21">
        <v>398.40000000000003</v>
      </c>
      <c r="W117" s="21">
        <v>124.9</v>
      </c>
      <c r="X117" s="21">
        <v>127.7</v>
      </c>
      <c r="Y117" s="21">
        <v>252.60000000000002</v>
      </c>
      <c r="Z117" s="21">
        <v>124.8</v>
      </c>
      <c r="AA117" s="21">
        <v>117.4</v>
      </c>
      <c r="AB117" s="21">
        <f t="shared" si="3"/>
        <v>242.2</v>
      </c>
      <c r="AC117" s="21">
        <v>127</v>
      </c>
      <c r="AD117" s="21">
        <v>113.6</v>
      </c>
      <c r="AE117" s="21">
        <v>122.5</v>
      </c>
      <c r="AF117" s="21">
        <v>127.5</v>
      </c>
      <c r="AG117" s="21">
        <v>135</v>
      </c>
      <c r="AH117" s="21">
        <v>121.1</v>
      </c>
      <c r="AI117" s="21">
        <v>128</v>
      </c>
    </row>
    <row r="118" spans="1:35" x14ac:dyDescent="0.35">
      <c r="A118" s="21" t="s">
        <v>33</v>
      </c>
      <c r="B118" s="21">
        <v>2016</v>
      </c>
      <c r="C118" s="21" t="s">
        <v>36</v>
      </c>
      <c r="D118" s="17" t="str">
        <f t="shared" si="2"/>
        <v>March-2016</v>
      </c>
      <c r="E118" s="21">
        <v>124.8</v>
      </c>
      <c r="F118" s="21">
        <v>136.30000000000001</v>
      </c>
      <c r="G118" s="21">
        <v>123.7</v>
      </c>
      <c r="H118" s="21">
        <v>129.69999999999999</v>
      </c>
      <c r="I118" s="21">
        <v>107.9</v>
      </c>
      <c r="J118" s="21">
        <v>119.9</v>
      </c>
      <c r="K118" s="21">
        <v>128.1</v>
      </c>
      <c r="L118" s="21">
        <v>170.3</v>
      </c>
      <c r="M118" s="21">
        <v>101.8</v>
      </c>
      <c r="N118" s="21">
        <v>140.1</v>
      </c>
      <c r="O118" s="21">
        <v>120.7</v>
      </c>
      <c r="P118" s="21">
        <v>135.4</v>
      </c>
      <c r="Q118" s="21">
        <v>128.9</v>
      </c>
      <c r="R118" s="21">
        <v>1667.6000000000001</v>
      </c>
      <c r="S118" s="21">
        <v>126.4</v>
      </c>
      <c r="T118" s="21">
        <v>120.3</v>
      </c>
      <c r="U118" s="21">
        <v>125.5</v>
      </c>
      <c r="V118" s="21">
        <v>372.2</v>
      </c>
      <c r="W118" s="21">
        <v>124.9</v>
      </c>
      <c r="X118" s="21">
        <v>122.3</v>
      </c>
      <c r="Y118" s="21">
        <v>247.2</v>
      </c>
      <c r="Z118" s="21">
        <v>119.7</v>
      </c>
      <c r="AA118" s="21">
        <v>117.1</v>
      </c>
      <c r="AB118" s="21">
        <f t="shared" si="3"/>
        <v>236.8</v>
      </c>
      <c r="AC118" s="21">
        <v>114.8</v>
      </c>
      <c r="AD118" s="21">
        <v>108.5</v>
      </c>
      <c r="AE118" s="21">
        <v>119.1</v>
      </c>
      <c r="AF118" s="21">
        <v>126.4</v>
      </c>
      <c r="AG118" s="21">
        <v>140.6</v>
      </c>
      <c r="AH118" s="21">
        <v>117.3</v>
      </c>
      <c r="AI118" s="21">
        <v>123.8</v>
      </c>
    </row>
    <row r="119" spans="1:35" x14ac:dyDescent="0.35">
      <c r="A119" s="21" t="s">
        <v>34</v>
      </c>
      <c r="B119" s="21">
        <v>2016</v>
      </c>
      <c r="C119" s="21" t="s">
        <v>36</v>
      </c>
      <c r="D119" s="17" t="str">
        <f t="shared" si="2"/>
        <v>March-2016</v>
      </c>
      <c r="E119" s="21">
        <v>126.5</v>
      </c>
      <c r="F119" s="21">
        <v>135.1</v>
      </c>
      <c r="G119" s="21">
        <v>124.6</v>
      </c>
      <c r="H119" s="21">
        <v>130.19999999999999</v>
      </c>
      <c r="I119" s="21">
        <v>114.5</v>
      </c>
      <c r="J119" s="21">
        <v>126.2</v>
      </c>
      <c r="K119" s="21">
        <v>129.80000000000001</v>
      </c>
      <c r="L119" s="21">
        <v>164.3</v>
      </c>
      <c r="M119" s="21">
        <v>100.9</v>
      </c>
      <c r="N119" s="21">
        <v>133.9</v>
      </c>
      <c r="O119" s="21">
        <v>123.1</v>
      </c>
      <c r="P119" s="21">
        <v>136.30000000000001</v>
      </c>
      <c r="Q119" s="21">
        <v>129.80000000000001</v>
      </c>
      <c r="R119" s="21">
        <v>1675.2</v>
      </c>
      <c r="S119" s="21">
        <v>131.30000000000001</v>
      </c>
      <c r="T119" s="21">
        <v>126.1</v>
      </c>
      <c r="U119" s="21">
        <v>130.5</v>
      </c>
      <c r="V119" s="21">
        <v>387.9</v>
      </c>
      <c r="W119" s="21">
        <v>124.9</v>
      </c>
      <c r="X119" s="21">
        <v>125.1</v>
      </c>
      <c r="Y119" s="21">
        <v>250</v>
      </c>
      <c r="Z119" s="21">
        <v>122.9</v>
      </c>
      <c r="AA119" s="21">
        <v>117.3</v>
      </c>
      <c r="AB119" s="21">
        <f t="shared" si="3"/>
        <v>240.2</v>
      </c>
      <c r="AC119" s="21">
        <v>122.4</v>
      </c>
      <c r="AD119" s="21">
        <v>110.9</v>
      </c>
      <c r="AE119" s="21">
        <v>120.6</v>
      </c>
      <c r="AF119" s="21">
        <v>126.9</v>
      </c>
      <c r="AG119" s="21">
        <v>136.5</v>
      </c>
      <c r="AH119" s="21">
        <v>119.3</v>
      </c>
      <c r="AI119" s="21">
        <v>126</v>
      </c>
    </row>
    <row r="120" spans="1:35" x14ac:dyDescent="0.35">
      <c r="A120" s="21" t="s">
        <v>30</v>
      </c>
      <c r="B120" s="21">
        <v>2016</v>
      </c>
      <c r="C120" s="21" t="s">
        <v>37</v>
      </c>
      <c r="D120" s="17" t="str">
        <f t="shared" si="2"/>
        <v>April-2016</v>
      </c>
      <c r="E120" s="21">
        <v>127.4</v>
      </c>
      <c r="F120" s="21">
        <v>135.4</v>
      </c>
      <c r="G120" s="21">
        <v>123.4</v>
      </c>
      <c r="H120" s="21">
        <v>131.30000000000001</v>
      </c>
      <c r="I120" s="21">
        <v>118.2</v>
      </c>
      <c r="J120" s="21">
        <v>138.1</v>
      </c>
      <c r="K120" s="21">
        <v>134.1</v>
      </c>
      <c r="L120" s="21">
        <v>162.69999999999999</v>
      </c>
      <c r="M120" s="21">
        <v>105</v>
      </c>
      <c r="N120" s="21">
        <v>131.4</v>
      </c>
      <c r="O120" s="21">
        <v>125.4</v>
      </c>
      <c r="P120" s="21">
        <v>137.4</v>
      </c>
      <c r="Q120" s="21">
        <v>131.80000000000001</v>
      </c>
      <c r="R120" s="21">
        <v>1701.6000000000004</v>
      </c>
      <c r="S120" s="21">
        <v>135</v>
      </c>
      <c r="T120" s="21">
        <v>130.6</v>
      </c>
      <c r="U120" s="21">
        <v>134.4</v>
      </c>
      <c r="V120" s="21">
        <v>400</v>
      </c>
      <c r="W120" s="21">
        <v>125.6</v>
      </c>
      <c r="X120" s="21">
        <v>128</v>
      </c>
      <c r="Y120" s="21">
        <v>253.6</v>
      </c>
      <c r="Z120" s="21">
        <v>125.2</v>
      </c>
      <c r="AA120" s="21">
        <v>118.4</v>
      </c>
      <c r="AB120" s="21">
        <f t="shared" si="3"/>
        <v>243.60000000000002</v>
      </c>
      <c r="AC120" s="21">
        <v>127</v>
      </c>
      <c r="AD120" s="21">
        <v>114.4</v>
      </c>
      <c r="AE120" s="21">
        <v>123.2</v>
      </c>
      <c r="AF120" s="21">
        <v>127.9</v>
      </c>
      <c r="AG120" s="21">
        <v>135.5</v>
      </c>
      <c r="AH120" s="21">
        <v>121.7</v>
      </c>
      <c r="AI120" s="21">
        <v>129</v>
      </c>
    </row>
    <row r="121" spans="1:35" x14ac:dyDescent="0.35">
      <c r="A121" s="21" t="s">
        <v>33</v>
      </c>
      <c r="B121" s="21">
        <v>2016</v>
      </c>
      <c r="C121" s="21" t="s">
        <v>37</v>
      </c>
      <c r="D121" s="17" t="str">
        <f t="shared" si="2"/>
        <v>April-2016</v>
      </c>
      <c r="E121" s="21">
        <v>124.9</v>
      </c>
      <c r="F121" s="21">
        <v>139.30000000000001</v>
      </c>
      <c r="G121" s="21">
        <v>119.9</v>
      </c>
      <c r="H121" s="21">
        <v>130.19999999999999</v>
      </c>
      <c r="I121" s="21">
        <v>108.9</v>
      </c>
      <c r="J121" s="21">
        <v>131.1</v>
      </c>
      <c r="K121" s="21">
        <v>136.80000000000001</v>
      </c>
      <c r="L121" s="21">
        <v>176.9</v>
      </c>
      <c r="M121" s="21">
        <v>109.1</v>
      </c>
      <c r="N121" s="21">
        <v>140.4</v>
      </c>
      <c r="O121" s="21">
        <v>121.1</v>
      </c>
      <c r="P121" s="21">
        <v>135.9</v>
      </c>
      <c r="Q121" s="21">
        <v>131.80000000000001</v>
      </c>
      <c r="R121" s="21">
        <v>1706.3</v>
      </c>
      <c r="S121" s="21">
        <v>126.8</v>
      </c>
      <c r="T121" s="21">
        <v>120.5</v>
      </c>
      <c r="U121" s="21">
        <v>125.8</v>
      </c>
      <c r="V121" s="21">
        <v>373.1</v>
      </c>
      <c r="W121" s="21">
        <v>125.6</v>
      </c>
      <c r="X121" s="21">
        <v>122.8</v>
      </c>
      <c r="Y121" s="21">
        <v>248.39999999999998</v>
      </c>
      <c r="Z121" s="21">
        <v>120</v>
      </c>
      <c r="AA121" s="21">
        <v>117.6</v>
      </c>
      <c r="AB121" s="21">
        <f t="shared" si="3"/>
        <v>237.6</v>
      </c>
      <c r="AC121" s="21">
        <v>114.6</v>
      </c>
      <c r="AD121" s="21">
        <v>110</v>
      </c>
      <c r="AE121" s="21">
        <v>119.5</v>
      </c>
      <c r="AF121" s="21">
        <v>127.6</v>
      </c>
      <c r="AG121" s="21">
        <v>141.5</v>
      </c>
      <c r="AH121" s="21">
        <v>118.2</v>
      </c>
      <c r="AI121" s="21">
        <v>125.3</v>
      </c>
    </row>
    <row r="122" spans="1:35" x14ac:dyDescent="0.35">
      <c r="A122" s="21" t="s">
        <v>34</v>
      </c>
      <c r="B122" s="21">
        <v>2016</v>
      </c>
      <c r="C122" s="21" t="s">
        <v>37</v>
      </c>
      <c r="D122" s="17" t="str">
        <f t="shared" si="2"/>
        <v>April-2016</v>
      </c>
      <c r="E122" s="21">
        <v>126.6</v>
      </c>
      <c r="F122" s="21">
        <v>136.80000000000001</v>
      </c>
      <c r="G122" s="21">
        <v>122</v>
      </c>
      <c r="H122" s="21">
        <v>130.9</v>
      </c>
      <c r="I122" s="21">
        <v>114.8</v>
      </c>
      <c r="J122" s="21">
        <v>134.80000000000001</v>
      </c>
      <c r="K122" s="21">
        <v>135</v>
      </c>
      <c r="L122" s="21">
        <v>167.5</v>
      </c>
      <c r="M122" s="21">
        <v>106.4</v>
      </c>
      <c r="N122" s="21">
        <v>134.4</v>
      </c>
      <c r="O122" s="21">
        <v>123.6</v>
      </c>
      <c r="P122" s="21">
        <v>136.69999999999999</v>
      </c>
      <c r="Q122" s="21">
        <v>131.80000000000001</v>
      </c>
      <c r="R122" s="21">
        <v>1701.3</v>
      </c>
      <c r="S122" s="21">
        <v>131.80000000000001</v>
      </c>
      <c r="T122" s="21">
        <v>126.4</v>
      </c>
      <c r="U122" s="21">
        <v>131</v>
      </c>
      <c r="V122" s="21">
        <v>389.20000000000005</v>
      </c>
      <c r="W122" s="21">
        <v>125.6</v>
      </c>
      <c r="X122" s="21">
        <v>125.5</v>
      </c>
      <c r="Y122" s="21">
        <v>251.1</v>
      </c>
      <c r="Z122" s="21">
        <v>123.2</v>
      </c>
      <c r="AA122" s="21">
        <v>118.1</v>
      </c>
      <c r="AB122" s="21">
        <f t="shared" si="3"/>
        <v>241.3</v>
      </c>
      <c r="AC122" s="21">
        <v>122.3</v>
      </c>
      <c r="AD122" s="21">
        <v>112.1</v>
      </c>
      <c r="AE122" s="21">
        <v>121.1</v>
      </c>
      <c r="AF122" s="21">
        <v>127.7</v>
      </c>
      <c r="AG122" s="21">
        <v>137.1</v>
      </c>
      <c r="AH122" s="21">
        <v>120</v>
      </c>
      <c r="AI122" s="21">
        <v>127.3</v>
      </c>
    </row>
    <row r="123" spans="1:35" x14ac:dyDescent="0.35">
      <c r="A123" s="21" t="s">
        <v>30</v>
      </c>
      <c r="B123" s="21">
        <v>2016</v>
      </c>
      <c r="C123" s="21" t="s">
        <v>38</v>
      </c>
      <c r="D123" s="17" t="str">
        <f t="shared" si="2"/>
        <v>May-2016</v>
      </c>
      <c r="E123" s="21">
        <v>127.6</v>
      </c>
      <c r="F123" s="21">
        <v>137.5</v>
      </c>
      <c r="G123" s="21">
        <v>124.4</v>
      </c>
      <c r="H123" s="21">
        <v>132.4</v>
      </c>
      <c r="I123" s="21">
        <v>118.2</v>
      </c>
      <c r="J123" s="21">
        <v>138.1</v>
      </c>
      <c r="K123" s="21">
        <v>141.80000000000001</v>
      </c>
      <c r="L123" s="21">
        <v>166</v>
      </c>
      <c r="M123" s="21">
        <v>107.5</v>
      </c>
      <c r="N123" s="21">
        <v>132.19999999999999</v>
      </c>
      <c r="O123" s="21">
        <v>126.1</v>
      </c>
      <c r="P123" s="21">
        <v>138.30000000000001</v>
      </c>
      <c r="Q123" s="21">
        <v>133.6</v>
      </c>
      <c r="R123" s="21">
        <v>1723.6999999999998</v>
      </c>
      <c r="S123" s="21">
        <v>135.4</v>
      </c>
      <c r="T123" s="21">
        <v>131.1</v>
      </c>
      <c r="U123" s="21">
        <v>134.80000000000001</v>
      </c>
      <c r="V123" s="21">
        <v>401.3</v>
      </c>
      <c r="W123" s="21">
        <v>126</v>
      </c>
      <c r="X123" s="21">
        <v>128.5</v>
      </c>
      <c r="Y123" s="21">
        <v>254.5</v>
      </c>
      <c r="Z123" s="21">
        <v>125.8</v>
      </c>
      <c r="AA123" s="21">
        <v>119.7</v>
      </c>
      <c r="AB123" s="21">
        <f t="shared" si="3"/>
        <v>245.5</v>
      </c>
      <c r="AC123" s="21">
        <v>127.4</v>
      </c>
      <c r="AD123" s="21">
        <v>115.1</v>
      </c>
      <c r="AE123" s="21">
        <v>123.6</v>
      </c>
      <c r="AF123" s="21">
        <v>129.1</v>
      </c>
      <c r="AG123" s="21">
        <v>136</v>
      </c>
      <c r="AH123" s="21">
        <v>122.5</v>
      </c>
      <c r="AI123" s="21">
        <v>130.30000000000001</v>
      </c>
    </row>
    <row r="124" spans="1:35" x14ac:dyDescent="0.35">
      <c r="A124" s="21" t="s">
        <v>33</v>
      </c>
      <c r="B124" s="21">
        <v>2016</v>
      </c>
      <c r="C124" s="21" t="s">
        <v>38</v>
      </c>
      <c r="D124" s="17" t="str">
        <f t="shared" si="2"/>
        <v>May-2016</v>
      </c>
      <c r="E124" s="21">
        <v>125</v>
      </c>
      <c r="F124" s="21">
        <v>142.1</v>
      </c>
      <c r="G124" s="21">
        <v>127</v>
      </c>
      <c r="H124" s="21">
        <v>130.4</v>
      </c>
      <c r="I124" s="21">
        <v>109.6</v>
      </c>
      <c r="J124" s="21">
        <v>133.5</v>
      </c>
      <c r="K124" s="21">
        <v>151.4</v>
      </c>
      <c r="L124" s="21">
        <v>182.8</v>
      </c>
      <c r="M124" s="21">
        <v>111.1</v>
      </c>
      <c r="N124" s="21">
        <v>141.5</v>
      </c>
      <c r="O124" s="21">
        <v>121.5</v>
      </c>
      <c r="P124" s="21">
        <v>136.30000000000001</v>
      </c>
      <c r="Q124" s="21">
        <v>134.6</v>
      </c>
      <c r="R124" s="21">
        <v>1746.7999999999997</v>
      </c>
      <c r="S124" s="21">
        <v>127.2</v>
      </c>
      <c r="T124" s="21">
        <v>120.7</v>
      </c>
      <c r="U124" s="21">
        <v>126.2</v>
      </c>
      <c r="V124" s="21">
        <v>374.1</v>
      </c>
      <c r="W124" s="21">
        <v>126</v>
      </c>
      <c r="X124" s="21">
        <v>123.2</v>
      </c>
      <c r="Y124" s="21">
        <v>249.2</v>
      </c>
      <c r="Z124" s="21">
        <v>120.3</v>
      </c>
      <c r="AA124" s="21">
        <v>118.5</v>
      </c>
      <c r="AB124" s="21">
        <f t="shared" si="3"/>
        <v>238.8</v>
      </c>
      <c r="AC124" s="21">
        <v>115</v>
      </c>
      <c r="AD124" s="21">
        <v>110.7</v>
      </c>
      <c r="AE124" s="21">
        <v>119.8</v>
      </c>
      <c r="AF124" s="21">
        <v>128</v>
      </c>
      <c r="AG124" s="21">
        <v>142.19999999999999</v>
      </c>
      <c r="AH124" s="21">
        <v>118.7</v>
      </c>
      <c r="AI124" s="21">
        <v>126.6</v>
      </c>
    </row>
    <row r="125" spans="1:35" x14ac:dyDescent="0.35">
      <c r="A125" s="21" t="s">
        <v>34</v>
      </c>
      <c r="B125" s="21">
        <v>2016</v>
      </c>
      <c r="C125" s="21" t="s">
        <v>38</v>
      </c>
      <c r="D125" s="17" t="str">
        <f t="shared" si="2"/>
        <v>May-2016</v>
      </c>
      <c r="E125" s="21">
        <v>126.8</v>
      </c>
      <c r="F125" s="21">
        <v>139.1</v>
      </c>
      <c r="G125" s="21">
        <v>125.4</v>
      </c>
      <c r="H125" s="21">
        <v>131.69999999999999</v>
      </c>
      <c r="I125" s="21">
        <v>115</v>
      </c>
      <c r="J125" s="21">
        <v>136</v>
      </c>
      <c r="K125" s="21">
        <v>145.1</v>
      </c>
      <c r="L125" s="21">
        <v>171.7</v>
      </c>
      <c r="M125" s="21">
        <v>108.7</v>
      </c>
      <c r="N125" s="21">
        <v>135.30000000000001</v>
      </c>
      <c r="O125" s="21">
        <v>124.2</v>
      </c>
      <c r="P125" s="21">
        <v>137.4</v>
      </c>
      <c r="Q125" s="21">
        <v>134</v>
      </c>
      <c r="R125" s="21">
        <v>1730.4</v>
      </c>
      <c r="S125" s="21">
        <v>132.19999999999999</v>
      </c>
      <c r="T125" s="21">
        <v>126.8</v>
      </c>
      <c r="U125" s="21">
        <v>131.4</v>
      </c>
      <c r="V125" s="21">
        <v>390.4</v>
      </c>
      <c r="W125" s="21">
        <v>126</v>
      </c>
      <c r="X125" s="21">
        <v>126</v>
      </c>
      <c r="Y125" s="21">
        <v>252</v>
      </c>
      <c r="Z125" s="21">
        <v>123.7</v>
      </c>
      <c r="AA125" s="21">
        <v>119.2</v>
      </c>
      <c r="AB125" s="21">
        <f t="shared" si="3"/>
        <v>242.9</v>
      </c>
      <c r="AC125" s="21">
        <v>122.7</v>
      </c>
      <c r="AD125" s="21">
        <v>112.8</v>
      </c>
      <c r="AE125" s="21">
        <v>121.5</v>
      </c>
      <c r="AF125" s="21">
        <v>128.5</v>
      </c>
      <c r="AG125" s="21">
        <v>137.69999999999999</v>
      </c>
      <c r="AH125" s="21">
        <v>120.7</v>
      </c>
      <c r="AI125" s="21">
        <v>128.6</v>
      </c>
    </row>
    <row r="126" spans="1:35" x14ac:dyDescent="0.35">
      <c r="A126" s="21" t="s">
        <v>30</v>
      </c>
      <c r="B126" s="21">
        <v>2016</v>
      </c>
      <c r="C126" s="21" t="s">
        <v>39</v>
      </c>
      <c r="D126" s="17" t="str">
        <f t="shared" si="2"/>
        <v>June-2016</v>
      </c>
      <c r="E126" s="21">
        <v>128.6</v>
      </c>
      <c r="F126" s="21">
        <v>138.6</v>
      </c>
      <c r="G126" s="21">
        <v>126.6</v>
      </c>
      <c r="H126" s="21">
        <v>133.6</v>
      </c>
      <c r="I126" s="21">
        <v>118.6</v>
      </c>
      <c r="J126" s="21">
        <v>137.4</v>
      </c>
      <c r="K126" s="21">
        <v>152.5</v>
      </c>
      <c r="L126" s="21">
        <v>169.2</v>
      </c>
      <c r="M126" s="21">
        <v>108.8</v>
      </c>
      <c r="N126" s="21">
        <v>133.1</v>
      </c>
      <c r="O126" s="21">
        <v>126.4</v>
      </c>
      <c r="P126" s="21">
        <v>139.19999999999999</v>
      </c>
      <c r="Q126" s="21">
        <v>136</v>
      </c>
      <c r="R126" s="21">
        <v>1748.6</v>
      </c>
      <c r="S126" s="21">
        <v>136.30000000000001</v>
      </c>
      <c r="T126" s="21">
        <v>131.6</v>
      </c>
      <c r="U126" s="21">
        <v>135.6</v>
      </c>
      <c r="V126" s="21">
        <v>403.5</v>
      </c>
      <c r="W126" s="21">
        <v>125.5</v>
      </c>
      <c r="X126" s="21">
        <v>129.30000000000001</v>
      </c>
      <c r="Y126" s="21">
        <v>254.8</v>
      </c>
      <c r="Z126" s="21">
        <v>126.2</v>
      </c>
      <c r="AA126" s="21">
        <v>119.9</v>
      </c>
      <c r="AB126" s="21">
        <f t="shared" si="3"/>
        <v>246.10000000000002</v>
      </c>
      <c r="AC126" s="21">
        <v>128</v>
      </c>
      <c r="AD126" s="21">
        <v>116.3</v>
      </c>
      <c r="AE126" s="21">
        <v>124.1</v>
      </c>
      <c r="AF126" s="21">
        <v>130.19999999999999</v>
      </c>
      <c r="AG126" s="21">
        <v>137.19999999999999</v>
      </c>
      <c r="AH126" s="21">
        <v>123.3</v>
      </c>
      <c r="AI126" s="21">
        <v>131.9</v>
      </c>
    </row>
    <row r="127" spans="1:35" x14ac:dyDescent="0.35">
      <c r="A127" s="21" t="s">
        <v>33</v>
      </c>
      <c r="B127" s="21">
        <v>2016</v>
      </c>
      <c r="C127" s="21" t="s">
        <v>39</v>
      </c>
      <c r="D127" s="17" t="str">
        <f t="shared" si="2"/>
        <v>June-2016</v>
      </c>
      <c r="E127" s="21">
        <v>125.9</v>
      </c>
      <c r="F127" s="21">
        <v>143.9</v>
      </c>
      <c r="G127" s="21">
        <v>130.9</v>
      </c>
      <c r="H127" s="21">
        <v>131</v>
      </c>
      <c r="I127" s="21">
        <v>110.2</v>
      </c>
      <c r="J127" s="21">
        <v>135.5</v>
      </c>
      <c r="K127" s="21">
        <v>173.7</v>
      </c>
      <c r="L127" s="21">
        <v>184.4</v>
      </c>
      <c r="M127" s="21">
        <v>112</v>
      </c>
      <c r="N127" s="21">
        <v>142.80000000000001</v>
      </c>
      <c r="O127" s="21">
        <v>121.6</v>
      </c>
      <c r="P127" s="21">
        <v>136.9</v>
      </c>
      <c r="Q127" s="21">
        <v>138.19999999999999</v>
      </c>
      <c r="R127" s="21">
        <v>1787.0000000000002</v>
      </c>
      <c r="S127" s="21">
        <v>127.6</v>
      </c>
      <c r="T127" s="21">
        <v>121.1</v>
      </c>
      <c r="U127" s="21">
        <v>126.6</v>
      </c>
      <c r="V127" s="21">
        <v>375.29999999999995</v>
      </c>
      <c r="W127" s="21">
        <v>125.5</v>
      </c>
      <c r="X127" s="21">
        <v>123.2</v>
      </c>
      <c r="Y127" s="21">
        <v>248.7</v>
      </c>
      <c r="Z127" s="21">
        <v>120.6</v>
      </c>
      <c r="AA127" s="21">
        <v>118.8</v>
      </c>
      <c r="AB127" s="21">
        <f t="shared" si="3"/>
        <v>239.39999999999998</v>
      </c>
      <c r="AC127" s="21">
        <v>115.5</v>
      </c>
      <c r="AD127" s="21">
        <v>112.3</v>
      </c>
      <c r="AE127" s="21">
        <v>119.9</v>
      </c>
      <c r="AF127" s="21">
        <v>129.30000000000001</v>
      </c>
      <c r="AG127" s="21">
        <v>142.69999999999999</v>
      </c>
      <c r="AH127" s="21">
        <v>119.6</v>
      </c>
      <c r="AI127" s="21">
        <v>128.1</v>
      </c>
    </row>
    <row r="128" spans="1:35" x14ac:dyDescent="0.35">
      <c r="A128" s="21" t="s">
        <v>34</v>
      </c>
      <c r="B128" s="21">
        <v>2016</v>
      </c>
      <c r="C128" s="21" t="s">
        <v>39</v>
      </c>
      <c r="D128" s="17" t="str">
        <f t="shared" si="2"/>
        <v>June-2016</v>
      </c>
      <c r="E128" s="21">
        <v>127.7</v>
      </c>
      <c r="F128" s="21">
        <v>140.5</v>
      </c>
      <c r="G128" s="21">
        <v>128.30000000000001</v>
      </c>
      <c r="H128" s="21">
        <v>132.6</v>
      </c>
      <c r="I128" s="21">
        <v>115.5</v>
      </c>
      <c r="J128" s="21">
        <v>136.5</v>
      </c>
      <c r="K128" s="21">
        <v>159.69999999999999</v>
      </c>
      <c r="L128" s="21">
        <v>174.3</v>
      </c>
      <c r="M128" s="21">
        <v>109.9</v>
      </c>
      <c r="N128" s="21">
        <v>136.30000000000001</v>
      </c>
      <c r="O128" s="21">
        <v>124.4</v>
      </c>
      <c r="P128" s="21">
        <v>138.1</v>
      </c>
      <c r="Q128" s="21">
        <v>136.80000000000001</v>
      </c>
      <c r="R128" s="21">
        <v>1760.6</v>
      </c>
      <c r="S128" s="21">
        <v>132.9</v>
      </c>
      <c r="T128" s="21">
        <v>127.2</v>
      </c>
      <c r="U128" s="21">
        <v>132</v>
      </c>
      <c r="V128" s="21">
        <v>392.1</v>
      </c>
      <c r="W128" s="21">
        <v>125.5</v>
      </c>
      <c r="X128" s="21">
        <v>126.4</v>
      </c>
      <c r="Y128" s="21">
        <v>251.9</v>
      </c>
      <c r="Z128" s="21">
        <v>124.1</v>
      </c>
      <c r="AA128" s="21">
        <v>119.4</v>
      </c>
      <c r="AB128" s="21">
        <f t="shared" si="3"/>
        <v>243.5</v>
      </c>
      <c r="AC128" s="21">
        <v>123.3</v>
      </c>
      <c r="AD128" s="21">
        <v>114.2</v>
      </c>
      <c r="AE128" s="21">
        <v>121.7</v>
      </c>
      <c r="AF128" s="21">
        <v>129.69999999999999</v>
      </c>
      <c r="AG128" s="21">
        <v>138.69999999999999</v>
      </c>
      <c r="AH128" s="21">
        <v>121.5</v>
      </c>
      <c r="AI128" s="21">
        <v>130.1</v>
      </c>
    </row>
    <row r="129" spans="1:35" x14ac:dyDescent="0.35">
      <c r="A129" s="21" t="s">
        <v>30</v>
      </c>
      <c r="B129" s="21">
        <v>2016</v>
      </c>
      <c r="C129" s="21" t="s">
        <v>40</v>
      </c>
      <c r="D129" s="17" t="str">
        <f t="shared" si="2"/>
        <v>July-2016</v>
      </c>
      <c r="E129" s="21">
        <v>129.30000000000001</v>
      </c>
      <c r="F129" s="21">
        <v>139.5</v>
      </c>
      <c r="G129" s="21">
        <v>129.6</v>
      </c>
      <c r="H129" s="21">
        <v>134.5</v>
      </c>
      <c r="I129" s="21">
        <v>119.5</v>
      </c>
      <c r="J129" s="21">
        <v>138.5</v>
      </c>
      <c r="K129" s="21">
        <v>158.19999999999999</v>
      </c>
      <c r="L129" s="21">
        <v>171.8</v>
      </c>
      <c r="M129" s="21">
        <v>110.3</v>
      </c>
      <c r="N129" s="21">
        <v>134.30000000000001</v>
      </c>
      <c r="O129" s="21">
        <v>127.3</v>
      </c>
      <c r="P129" s="21">
        <v>139.9</v>
      </c>
      <c r="Q129" s="21">
        <v>137.6</v>
      </c>
      <c r="R129" s="21">
        <v>1770.2999999999997</v>
      </c>
      <c r="S129" s="21">
        <v>137.19999999999999</v>
      </c>
      <c r="T129" s="21">
        <v>132.19999999999999</v>
      </c>
      <c r="U129" s="21">
        <v>136.5</v>
      </c>
      <c r="V129" s="21">
        <v>405.9</v>
      </c>
      <c r="W129" s="21">
        <v>126.4</v>
      </c>
      <c r="X129" s="21">
        <v>130</v>
      </c>
      <c r="Y129" s="21">
        <v>256.39999999999998</v>
      </c>
      <c r="Z129" s="21">
        <v>126.7</v>
      </c>
      <c r="AA129" s="21">
        <v>120.9</v>
      </c>
      <c r="AB129" s="21">
        <f t="shared" si="3"/>
        <v>247.60000000000002</v>
      </c>
      <c r="AC129" s="21">
        <v>128.19999999999999</v>
      </c>
      <c r="AD129" s="21">
        <v>116.4</v>
      </c>
      <c r="AE129" s="21">
        <v>125.2</v>
      </c>
      <c r="AF129" s="21">
        <v>130.80000000000001</v>
      </c>
      <c r="AG129" s="21">
        <v>138</v>
      </c>
      <c r="AH129" s="21">
        <v>123.8</v>
      </c>
      <c r="AI129" s="21">
        <v>133</v>
      </c>
    </row>
    <row r="130" spans="1:35" x14ac:dyDescent="0.35">
      <c r="A130" s="21" t="s">
        <v>33</v>
      </c>
      <c r="B130" s="21">
        <v>2016</v>
      </c>
      <c r="C130" s="21" t="s">
        <v>40</v>
      </c>
      <c r="D130" s="17" t="str">
        <f t="shared" si="2"/>
        <v>July-2016</v>
      </c>
      <c r="E130" s="21">
        <v>126.8</v>
      </c>
      <c r="F130" s="21">
        <v>144.19999999999999</v>
      </c>
      <c r="G130" s="21">
        <v>136.6</v>
      </c>
      <c r="H130" s="21">
        <v>131.80000000000001</v>
      </c>
      <c r="I130" s="21">
        <v>111</v>
      </c>
      <c r="J130" s="21">
        <v>137</v>
      </c>
      <c r="K130" s="21">
        <v>179.5</v>
      </c>
      <c r="L130" s="21">
        <v>188.4</v>
      </c>
      <c r="M130" s="21">
        <v>113.3</v>
      </c>
      <c r="N130" s="21">
        <v>143.9</v>
      </c>
      <c r="O130" s="21">
        <v>121.7</v>
      </c>
      <c r="P130" s="21">
        <v>137.5</v>
      </c>
      <c r="Q130" s="21">
        <v>139.80000000000001</v>
      </c>
      <c r="R130" s="21">
        <v>1811.5000000000002</v>
      </c>
      <c r="S130" s="21">
        <v>127.9</v>
      </c>
      <c r="T130" s="21">
        <v>121.1</v>
      </c>
      <c r="U130" s="21">
        <v>126.9</v>
      </c>
      <c r="V130" s="21">
        <v>375.9</v>
      </c>
      <c r="W130" s="21">
        <v>126.4</v>
      </c>
      <c r="X130" s="21">
        <v>123.5</v>
      </c>
      <c r="Y130" s="21">
        <v>249.9</v>
      </c>
      <c r="Z130" s="21">
        <v>120.9</v>
      </c>
      <c r="AA130" s="21">
        <v>120</v>
      </c>
      <c r="AB130" s="21">
        <f t="shared" si="3"/>
        <v>240.9</v>
      </c>
      <c r="AC130" s="21">
        <v>115.5</v>
      </c>
      <c r="AD130" s="21">
        <v>111.7</v>
      </c>
      <c r="AE130" s="21">
        <v>120.3</v>
      </c>
      <c r="AF130" s="21">
        <v>130.80000000000001</v>
      </c>
      <c r="AG130" s="21">
        <v>142.9</v>
      </c>
      <c r="AH130" s="21">
        <v>119.9</v>
      </c>
      <c r="AI130" s="21">
        <v>129</v>
      </c>
    </row>
    <row r="131" spans="1:35" x14ac:dyDescent="0.35">
      <c r="A131" s="21" t="s">
        <v>34</v>
      </c>
      <c r="B131" s="21">
        <v>2016</v>
      </c>
      <c r="C131" s="21" t="s">
        <v>40</v>
      </c>
      <c r="D131" s="17" t="str">
        <f t="shared" si="2"/>
        <v>July-2016</v>
      </c>
      <c r="E131" s="21">
        <v>128.5</v>
      </c>
      <c r="F131" s="21">
        <v>141.19999999999999</v>
      </c>
      <c r="G131" s="21">
        <v>132.30000000000001</v>
      </c>
      <c r="H131" s="21">
        <v>133.5</v>
      </c>
      <c r="I131" s="21">
        <v>116.4</v>
      </c>
      <c r="J131" s="21">
        <v>137.80000000000001</v>
      </c>
      <c r="K131" s="21">
        <v>165.4</v>
      </c>
      <c r="L131" s="21">
        <v>177.4</v>
      </c>
      <c r="M131" s="21">
        <v>111.3</v>
      </c>
      <c r="N131" s="21">
        <v>137.5</v>
      </c>
      <c r="O131" s="21">
        <v>125</v>
      </c>
      <c r="P131" s="21">
        <v>138.80000000000001</v>
      </c>
      <c r="Q131" s="21">
        <v>138.4</v>
      </c>
      <c r="R131" s="21">
        <v>1783.5</v>
      </c>
      <c r="S131" s="21">
        <v>133.5</v>
      </c>
      <c r="T131" s="21">
        <v>127.6</v>
      </c>
      <c r="U131" s="21">
        <v>132.69999999999999</v>
      </c>
      <c r="V131" s="21">
        <v>393.8</v>
      </c>
      <c r="W131" s="21">
        <v>126.4</v>
      </c>
      <c r="X131" s="21">
        <v>126.9</v>
      </c>
      <c r="Y131" s="21">
        <v>253.3</v>
      </c>
      <c r="Z131" s="21">
        <v>124.5</v>
      </c>
      <c r="AA131" s="21">
        <v>120.5</v>
      </c>
      <c r="AB131" s="21">
        <f t="shared" si="3"/>
        <v>245</v>
      </c>
      <c r="AC131" s="21">
        <v>123.4</v>
      </c>
      <c r="AD131" s="21">
        <v>113.9</v>
      </c>
      <c r="AE131" s="21">
        <v>122.4</v>
      </c>
      <c r="AF131" s="21">
        <v>130.80000000000001</v>
      </c>
      <c r="AG131" s="21">
        <v>139.30000000000001</v>
      </c>
      <c r="AH131" s="21">
        <v>121.9</v>
      </c>
      <c r="AI131" s="21">
        <v>131.1</v>
      </c>
    </row>
    <row r="132" spans="1:35" x14ac:dyDescent="0.35">
      <c r="A132" s="21" t="s">
        <v>30</v>
      </c>
      <c r="B132" s="21">
        <v>2016</v>
      </c>
      <c r="C132" s="21" t="s">
        <v>41</v>
      </c>
      <c r="D132" s="17" t="str">
        <f t="shared" ref="D132:D195" si="4">CONCATENATE(C132,"-",B132)</f>
        <v>August-2016</v>
      </c>
      <c r="E132" s="21">
        <v>130.1</v>
      </c>
      <c r="F132" s="21">
        <v>138.80000000000001</v>
      </c>
      <c r="G132" s="21">
        <v>130.30000000000001</v>
      </c>
      <c r="H132" s="21">
        <v>135.30000000000001</v>
      </c>
      <c r="I132" s="21">
        <v>119.9</v>
      </c>
      <c r="J132" s="21">
        <v>140.19999999999999</v>
      </c>
      <c r="K132" s="21">
        <v>156.9</v>
      </c>
      <c r="L132" s="21">
        <v>172.2</v>
      </c>
      <c r="M132" s="21">
        <v>112.1</v>
      </c>
      <c r="N132" s="21">
        <v>134.9</v>
      </c>
      <c r="O132" s="21">
        <v>128.1</v>
      </c>
      <c r="P132" s="21">
        <v>140.69999999999999</v>
      </c>
      <c r="Q132" s="21">
        <v>138</v>
      </c>
      <c r="R132" s="21">
        <v>1777.4999999999998</v>
      </c>
      <c r="S132" s="21">
        <v>137.80000000000001</v>
      </c>
      <c r="T132" s="21">
        <v>133</v>
      </c>
      <c r="U132" s="21">
        <v>137.1</v>
      </c>
      <c r="V132" s="21">
        <v>407.9</v>
      </c>
      <c r="W132" s="21">
        <v>127.3</v>
      </c>
      <c r="X132" s="21">
        <v>130.6</v>
      </c>
      <c r="Y132" s="21">
        <v>257.89999999999998</v>
      </c>
      <c r="Z132" s="21">
        <v>127</v>
      </c>
      <c r="AA132" s="21">
        <v>122</v>
      </c>
      <c r="AB132" s="21">
        <f t="shared" ref="AB132:AB195" si="5">SUM(Z132:AA132)</f>
        <v>249</v>
      </c>
      <c r="AC132" s="21">
        <v>129.1</v>
      </c>
      <c r="AD132" s="21">
        <v>116</v>
      </c>
      <c r="AE132" s="21">
        <v>125.5</v>
      </c>
      <c r="AF132" s="21">
        <v>131.9</v>
      </c>
      <c r="AG132" s="21">
        <v>138.9</v>
      </c>
      <c r="AH132" s="21">
        <v>124.2</v>
      </c>
      <c r="AI132" s="21">
        <v>133.5</v>
      </c>
    </row>
    <row r="133" spans="1:35" x14ac:dyDescent="0.35">
      <c r="A133" s="21" t="s">
        <v>33</v>
      </c>
      <c r="B133" s="21">
        <v>2016</v>
      </c>
      <c r="C133" s="21" t="s">
        <v>41</v>
      </c>
      <c r="D133" s="17" t="str">
        <f t="shared" si="4"/>
        <v>August-2016</v>
      </c>
      <c r="E133" s="21">
        <v>127.6</v>
      </c>
      <c r="F133" s="21">
        <v>140.30000000000001</v>
      </c>
      <c r="G133" s="21">
        <v>133.69999999999999</v>
      </c>
      <c r="H133" s="21">
        <v>132.19999999999999</v>
      </c>
      <c r="I133" s="21">
        <v>111.8</v>
      </c>
      <c r="J133" s="21">
        <v>135.80000000000001</v>
      </c>
      <c r="K133" s="21">
        <v>163.5</v>
      </c>
      <c r="L133" s="21">
        <v>182.3</v>
      </c>
      <c r="M133" s="21">
        <v>114.6</v>
      </c>
      <c r="N133" s="21">
        <v>144.6</v>
      </c>
      <c r="O133" s="21">
        <v>121.9</v>
      </c>
      <c r="P133" s="21">
        <v>138.1</v>
      </c>
      <c r="Q133" s="21">
        <v>137.6</v>
      </c>
      <c r="R133" s="21">
        <v>1783.9999999999995</v>
      </c>
      <c r="S133" s="21">
        <v>128.30000000000001</v>
      </c>
      <c r="T133" s="21">
        <v>121.4</v>
      </c>
      <c r="U133" s="21">
        <v>127.3</v>
      </c>
      <c r="V133" s="21">
        <v>377</v>
      </c>
      <c r="W133" s="21">
        <v>127.3</v>
      </c>
      <c r="X133" s="21">
        <v>123.9</v>
      </c>
      <c r="Y133" s="21">
        <v>251.2</v>
      </c>
      <c r="Z133" s="21">
        <v>121.2</v>
      </c>
      <c r="AA133" s="21">
        <v>120.9</v>
      </c>
      <c r="AB133" s="21">
        <f t="shared" si="5"/>
        <v>242.10000000000002</v>
      </c>
      <c r="AC133" s="21">
        <v>114.7</v>
      </c>
      <c r="AD133" s="21">
        <v>110.4</v>
      </c>
      <c r="AE133" s="21">
        <v>120.6</v>
      </c>
      <c r="AF133" s="21">
        <v>131.5</v>
      </c>
      <c r="AG133" s="21">
        <v>143.6</v>
      </c>
      <c r="AH133" s="21">
        <v>119.9</v>
      </c>
      <c r="AI133" s="21">
        <v>128.4</v>
      </c>
    </row>
    <row r="134" spans="1:35" x14ac:dyDescent="0.35">
      <c r="A134" s="21" t="s">
        <v>34</v>
      </c>
      <c r="B134" s="21">
        <v>2016</v>
      </c>
      <c r="C134" s="21" t="s">
        <v>41</v>
      </c>
      <c r="D134" s="17" t="str">
        <f t="shared" si="4"/>
        <v>August-2016</v>
      </c>
      <c r="E134" s="21">
        <v>129.30000000000001</v>
      </c>
      <c r="F134" s="21">
        <v>139.30000000000001</v>
      </c>
      <c r="G134" s="21">
        <v>131.6</v>
      </c>
      <c r="H134" s="21">
        <v>134.1</v>
      </c>
      <c r="I134" s="21">
        <v>116.9</v>
      </c>
      <c r="J134" s="21">
        <v>138.1</v>
      </c>
      <c r="K134" s="21">
        <v>159.1</v>
      </c>
      <c r="L134" s="21">
        <v>175.6</v>
      </c>
      <c r="M134" s="21">
        <v>112.9</v>
      </c>
      <c r="N134" s="21">
        <v>138.1</v>
      </c>
      <c r="O134" s="21">
        <v>125.5</v>
      </c>
      <c r="P134" s="21">
        <v>139.5</v>
      </c>
      <c r="Q134" s="21">
        <v>137.9</v>
      </c>
      <c r="R134" s="21">
        <v>1777.9</v>
      </c>
      <c r="S134" s="21">
        <v>134.1</v>
      </c>
      <c r="T134" s="21">
        <v>128.19999999999999</v>
      </c>
      <c r="U134" s="21">
        <v>133.19999999999999</v>
      </c>
      <c r="V134" s="21">
        <v>395.49999999999994</v>
      </c>
      <c r="W134" s="21">
        <v>127.3</v>
      </c>
      <c r="X134" s="21">
        <v>127.4</v>
      </c>
      <c r="Y134" s="21">
        <v>254.7</v>
      </c>
      <c r="Z134" s="21">
        <v>124.8</v>
      </c>
      <c r="AA134" s="21">
        <v>121.5</v>
      </c>
      <c r="AB134" s="21">
        <f t="shared" si="5"/>
        <v>246.3</v>
      </c>
      <c r="AC134" s="21">
        <v>123.6</v>
      </c>
      <c r="AD134" s="21">
        <v>113.1</v>
      </c>
      <c r="AE134" s="21">
        <v>122.7</v>
      </c>
      <c r="AF134" s="21">
        <v>131.69999999999999</v>
      </c>
      <c r="AG134" s="21">
        <v>140.19999999999999</v>
      </c>
      <c r="AH134" s="21">
        <v>122.1</v>
      </c>
      <c r="AI134" s="21">
        <v>131.1</v>
      </c>
    </row>
    <row r="135" spans="1:35" x14ac:dyDescent="0.35">
      <c r="A135" s="21" t="s">
        <v>30</v>
      </c>
      <c r="B135" s="21">
        <v>2016</v>
      </c>
      <c r="C135" s="21" t="s">
        <v>42</v>
      </c>
      <c r="D135" s="17" t="str">
        <f t="shared" si="4"/>
        <v>September-2016</v>
      </c>
      <c r="E135" s="21">
        <v>130.80000000000001</v>
      </c>
      <c r="F135" s="21">
        <v>138.19999999999999</v>
      </c>
      <c r="G135" s="21">
        <v>130.5</v>
      </c>
      <c r="H135" s="21">
        <v>135.5</v>
      </c>
      <c r="I135" s="21">
        <v>120.2</v>
      </c>
      <c r="J135" s="21">
        <v>139.19999999999999</v>
      </c>
      <c r="K135" s="21">
        <v>149.5</v>
      </c>
      <c r="L135" s="21">
        <v>170.4</v>
      </c>
      <c r="M135" s="21">
        <v>113.1</v>
      </c>
      <c r="N135" s="21">
        <v>135.80000000000001</v>
      </c>
      <c r="O135" s="21">
        <v>128.80000000000001</v>
      </c>
      <c r="P135" s="21">
        <v>141.5</v>
      </c>
      <c r="Q135" s="21">
        <v>137.19999999999999</v>
      </c>
      <c r="R135" s="21">
        <v>1770.7</v>
      </c>
      <c r="S135" s="21">
        <v>138.5</v>
      </c>
      <c r="T135" s="21">
        <v>133.5</v>
      </c>
      <c r="U135" s="21">
        <v>137.80000000000001</v>
      </c>
      <c r="V135" s="21">
        <v>409.8</v>
      </c>
      <c r="W135" s="21">
        <v>127.9</v>
      </c>
      <c r="X135" s="21">
        <v>131.1</v>
      </c>
      <c r="Y135" s="21">
        <v>259</v>
      </c>
      <c r="Z135" s="21">
        <v>127.8</v>
      </c>
      <c r="AA135" s="21">
        <v>122.8</v>
      </c>
      <c r="AB135" s="21">
        <f t="shared" si="5"/>
        <v>250.6</v>
      </c>
      <c r="AC135" s="21">
        <v>129.69999999999999</v>
      </c>
      <c r="AD135" s="21">
        <v>117</v>
      </c>
      <c r="AE135" s="21">
        <v>125.7</v>
      </c>
      <c r="AF135" s="21">
        <v>132.19999999999999</v>
      </c>
      <c r="AG135" s="21">
        <v>139.9</v>
      </c>
      <c r="AH135" s="21">
        <v>124.9</v>
      </c>
      <c r="AI135" s="21">
        <v>133.4</v>
      </c>
    </row>
    <row r="136" spans="1:35" x14ac:dyDescent="0.35">
      <c r="A136" s="21" t="s">
        <v>33</v>
      </c>
      <c r="B136" s="21">
        <v>2016</v>
      </c>
      <c r="C136" s="21" t="s">
        <v>42</v>
      </c>
      <c r="D136" s="17" t="str">
        <f t="shared" si="4"/>
        <v>September-2016</v>
      </c>
      <c r="E136" s="21">
        <v>128.1</v>
      </c>
      <c r="F136" s="21">
        <v>137.69999999999999</v>
      </c>
      <c r="G136" s="21">
        <v>130.6</v>
      </c>
      <c r="H136" s="21">
        <v>132.6</v>
      </c>
      <c r="I136" s="21">
        <v>111.9</v>
      </c>
      <c r="J136" s="21">
        <v>132.5</v>
      </c>
      <c r="K136" s="21">
        <v>152.9</v>
      </c>
      <c r="L136" s="21">
        <v>173.6</v>
      </c>
      <c r="M136" s="21">
        <v>115.1</v>
      </c>
      <c r="N136" s="21">
        <v>144.80000000000001</v>
      </c>
      <c r="O136" s="21">
        <v>122.1</v>
      </c>
      <c r="P136" s="21">
        <v>138.80000000000001</v>
      </c>
      <c r="Q136" s="21">
        <v>135.69999999999999</v>
      </c>
      <c r="R136" s="21">
        <v>1756.3999999999996</v>
      </c>
      <c r="S136" s="21">
        <v>128.69999999999999</v>
      </c>
      <c r="T136" s="21">
        <v>121.6</v>
      </c>
      <c r="U136" s="21">
        <v>127.7</v>
      </c>
      <c r="V136" s="21">
        <v>378</v>
      </c>
      <c r="W136" s="21">
        <v>127.9</v>
      </c>
      <c r="X136" s="21">
        <v>124.3</v>
      </c>
      <c r="Y136" s="21">
        <v>252.2</v>
      </c>
      <c r="Z136" s="21">
        <v>121.4</v>
      </c>
      <c r="AA136" s="21">
        <v>121.2</v>
      </c>
      <c r="AB136" s="21">
        <f t="shared" si="5"/>
        <v>242.60000000000002</v>
      </c>
      <c r="AC136" s="21">
        <v>114.8</v>
      </c>
      <c r="AD136" s="21">
        <v>111.8</v>
      </c>
      <c r="AE136" s="21">
        <v>120.8</v>
      </c>
      <c r="AF136" s="21">
        <v>131.6</v>
      </c>
      <c r="AG136" s="21">
        <v>143.9</v>
      </c>
      <c r="AH136" s="21">
        <v>120.5</v>
      </c>
      <c r="AI136" s="21">
        <v>128</v>
      </c>
    </row>
    <row r="137" spans="1:35" x14ac:dyDescent="0.35">
      <c r="A137" s="21" t="s">
        <v>34</v>
      </c>
      <c r="B137" s="21">
        <v>2016</v>
      </c>
      <c r="C137" s="21" t="s">
        <v>42</v>
      </c>
      <c r="D137" s="17" t="str">
        <f t="shared" si="4"/>
        <v>September-2016</v>
      </c>
      <c r="E137" s="21">
        <v>129.9</v>
      </c>
      <c r="F137" s="21">
        <v>138</v>
      </c>
      <c r="G137" s="21">
        <v>130.5</v>
      </c>
      <c r="H137" s="21">
        <v>134.4</v>
      </c>
      <c r="I137" s="21">
        <v>117.2</v>
      </c>
      <c r="J137" s="21">
        <v>136.1</v>
      </c>
      <c r="K137" s="21">
        <v>150.69999999999999</v>
      </c>
      <c r="L137" s="21">
        <v>171.5</v>
      </c>
      <c r="M137" s="21">
        <v>113.8</v>
      </c>
      <c r="N137" s="21">
        <v>138.80000000000001</v>
      </c>
      <c r="O137" s="21">
        <v>126</v>
      </c>
      <c r="P137" s="21">
        <v>140.19999999999999</v>
      </c>
      <c r="Q137" s="21">
        <v>136.6</v>
      </c>
      <c r="R137" s="21">
        <v>1763.6999999999998</v>
      </c>
      <c r="S137" s="21">
        <v>134.6</v>
      </c>
      <c r="T137" s="21">
        <v>128.6</v>
      </c>
      <c r="U137" s="21">
        <v>133.80000000000001</v>
      </c>
      <c r="V137" s="21">
        <v>397</v>
      </c>
      <c r="W137" s="21">
        <v>127.9</v>
      </c>
      <c r="X137" s="21">
        <v>127.9</v>
      </c>
      <c r="Y137" s="21">
        <v>255.8</v>
      </c>
      <c r="Z137" s="21">
        <v>125.4</v>
      </c>
      <c r="AA137" s="21">
        <v>122.1</v>
      </c>
      <c r="AB137" s="21">
        <f t="shared" si="5"/>
        <v>247.5</v>
      </c>
      <c r="AC137" s="21">
        <v>124.1</v>
      </c>
      <c r="AD137" s="21">
        <v>114.3</v>
      </c>
      <c r="AE137" s="21">
        <v>122.9</v>
      </c>
      <c r="AF137" s="21">
        <v>131.80000000000001</v>
      </c>
      <c r="AG137" s="21">
        <v>141</v>
      </c>
      <c r="AH137" s="21">
        <v>122.8</v>
      </c>
      <c r="AI137" s="21">
        <v>130.9</v>
      </c>
    </row>
    <row r="138" spans="1:35" x14ac:dyDescent="0.35">
      <c r="A138" s="21" t="s">
        <v>30</v>
      </c>
      <c r="B138" s="21">
        <v>2016</v>
      </c>
      <c r="C138" s="21" t="s">
        <v>43</v>
      </c>
      <c r="D138" s="17" t="str">
        <f t="shared" si="4"/>
        <v>October-2016</v>
      </c>
      <c r="E138" s="21">
        <v>131.30000000000001</v>
      </c>
      <c r="F138" s="21">
        <v>137.6</v>
      </c>
      <c r="G138" s="21">
        <v>130.1</v>
      </c>
      <c r="H138" s="21">
        <v>136</v>
      </c>
      <c r="I138" s="21">
        <v>120.8</v>
      </c>
      <c r="J138" s="21">
        <v>138.4</v>
      </c>
      <c r="K138" s="21">
        <v>149.19999999999999</v>
      </c>
      <c r="L138" s="21">
        <v>170.2</v>
      </c>
      <c r="M138" s="21">
        <v>113.4</v>
      </c>
      <c r="N138" s="21">
        <v>136.30000000000001</v>
      </c>
      <c r="O138" s="21">
        <v>128.69999999999999</v>
      </c>
      <c r="P138" s="21">
        <v>142.4</v>
      </c>
      <c r="Q138" s="21">
        <v>137.4</v>
      </c>
      <c r="R138" s="21">
        <v>1771.8000000000002</v>
      </c>
      <c r="S138" s="21">
        <v>139.6</v>
      </c>
      <c r="T138" s="21">
        <v>134.30000000000001</v>
      </c>
      <c r="U138" s="21">
        <v>138.80000000000001</v>
      </c>
      <c r="V138" s="21">
        <v>412.7</v>
      </c>
      <c r="W138" s="21">
        <v>128.69999999999999</v>
      </c>
      <c r="X138" s="21">
        <v>131.80000000000001</v>
      </c>
      <c r="Y138" s="21">
        <v>260.5</v>
      </c>
      <c r="Z138" s="21">
        <v>128.69999999999999</v>
      </c>
      <c r="AA138" s="21">
        <v>123</v>
      </c>
      <c r="AB138" s="21">
        <f t="shared" si="5"/>
        <v>251.7</v>
      </c>
      <c r="AC138" s="21">
        <v>129.80000000000001</v>
      </c>
      <c r="AD138" s="21">
        <v>117.8</v>
      </c>
      <c r="AE138" s="21">
        <v>126.5</v>
      </c>
      <c r="AF138" s="21">
        <v>133</v>
      </c>
      <c r="AG138" s="21">
        <v>140.9</v>
      </c>
      <c r="AH138" s="21">
        <v>125.7</v>
      </c>
      <c r="AI138" s="21">
        <v>133.80000000000001</v>
      </c>
    </row>
    <row r="139" spans="1:35" x14ac:dyDescent="0.35">
      <c r="A139" s="21" t="s">
        <v>33</v>
      </c>
      <c r="B139" s="21">
        <v>2016</v>
      </c>
      <c r="C139" s="21" t="s">
        <v>43</v>
      </c>
      <c r="D139" s="17" t="str">
        <f t="shared" si="4"/>
        <v>October-2016</v>
      </c>
      <c r="E139" s="21">
        <v>128.69999999999999</v>
      </c>
      <c r="F139" s="21">
        <v>138.4</v>
      </c>
      <c r="G139" s="21">
        <v>130.30000000000001</v>
      </c>
      <c r="H139" s="21">
        <v>132.69999999999999</v>
      </c>
      <c r="I139" s="21">
        <v>112.5</v>
      </c>
      <c r="J139" s="21">
        <v>130.4</v>
      </c>
      <c r="K139" s="21">
        <v>155.1</v>
      </c>
      <c r="L139" s="21">
        <v>175.7</v>
      </c>
      <c r="M139" s="21">
        <v>115.4</v>
      </c>
      <c r="N139" s="21">
        <v>145.30000000000001</v>
      </c>
      <c r="O139" s="21">
        <v>122.5</v>
      </c>
      <c r="P139" s="21">
        <v>139.6</v>
      </c>
      <c r="Q139" s="21">
        <v>136.30000000000001</v>
      </c>
      <c r="R139" s="21">
        <v>1762.8999999999999</v>
      </c>
      <c r="S139" s="21">
        <v>129.1</v>
      </c>
      <c r="T139" s="21">
        <v>121.9</v>
      </c>
      <c r="U139" s="21">
        <v>128</v>
      </c>
      <c r="V139" s="21">
        <v>379</v>
      </c>
      <c r="W139" s="21">
        <v>128.69999999999999</v>
      </c>
      <c r="X139" s="21">
        <v>124.5</v>
      </c>
      <c r="Y139" s="21">
        <v>253.2</v>
      </c>
      <c r="Z139" s="21">
        <v>121.8</v>
      </c>
      <c r="AA139" s="21">
        <v>120.8</v>
      </c>
      <c r="AB139" s="21">
        <f t="shared" si="5"/>
        <v>242.6</v>
      </c>
      <c r="AC139" s="21">
        <v>115.2</v>
      </c>
      <c r="AD139" s="21">
        <v>112.8</v>
      </c>
      <c r="AE139" s="21">
        <v>121.2</v>
      </c>
      <c r="AF139" s="21">
        <v>131.9</v>
      </c>
      <c r="AG139" s="21">
        <v>144.30000000000001</v>
      </c>
      <c r="AH139" s="21">
        <v>120.9</v>
      </c>
      <c r="AI139" s="21">
        <v>128.6</v>
      </c>
    </row>
    <row r="140" spans="1:35" x14ac:dyDescent="0.35">
      <c r="A140" s="21" t="s">
        <v>34</v>
      </c>
      <c r="B140" s="21">
        <v>2016</v>
      </c>
      <c r="C140" s="21" t="s">
        <v>43</v>
      </c>
      <c r="D140" s="17" t="str">
        <f t="shared" si="4"/>
        <v>October-2016</v>
      </c>
      <c r="E140" s="21">
        <v>130.5</v>
      </c>
      <c r="F140" s="21">
        <v>137.9</v>
      </c>
      <c r="G140" s="21">
        <v>130.19999999999999</v>
      </c>
      <c r="H140" s="21">
        <v>134.80000000000001</v>
      </c>
      <c r="I140" s="21">
        <v>117.8</v>
      </c>
      <c r="J140" s="21">
        <v>134.69999999999999</v>
      </c>
      <c r="K140" s="21">
        <v>151.19999999999999</v>
      </c>
      <c r="L140" s="21">
        <v>172.1</v>
      </c>
      <c r="M140" s="21">
        <v>114.1</v>
      </c>
      <c r="N140" s="21">
        <v>139.30000000000001</v>
      </c>
      <c r="O140" s="21">
        <v>126.1</v>
      </c>
      <c r="P140" s="21">
        <v>141.1</v>
      </c>
      <c r="Q140" s="21">
        <v>137</v>
      </c>
      <c r="R140" s="21">
        <v>1766.7999999999995</v>
      </c>
      <c r="S140" s="21">
        <v>135.5</v>
      </c>
      <c r="T140" s="21">
        <v>129.1</v>
      </c>
      <c r="U140" s="21">
        <v>134.5</v>
      </c>
      <c r="V140" s="21">
        <v>399.1</v>
      </c>
      <c r="W140" s="21">
        <v>128.69999999999999</v>
      </c>
      <c r="X140" s="21">
        <v>128.4</v>
      </c>
      <c r="Y140" s="21">
        <v>257.10000000000002</v>
      </c>
      <c r="Z140" s="21">
        <v>126.1</v>
      </c>
      <c r="AA140" s="21">
        <v>122.1</v>
      </c>
      <c r="AB140" s="21">
        <f t="shared" si="5"/>
        <v>248.2</v>
      </c>
      <c r="AC140" s="21">
        <v>124.3</v>
      </c>
      <c r="AD140" s="21">
        <v>115.2</v>
      </c>
      <c r="AE140" s="21">
        <v>123.5</v>
      </c>
      <c r="AF140" s="21">
        <v>132.4</v>
      </c>
      <c r="AG140" s="21">
        <v>141.80000000000001</v>
      </c>
      <c r="AH140" s="21">
        <v>123.4</v>
      </c>
      <c r="AI140" s="21">
        <v>131.4</v>
      </c>
    </row>
    <row r="141" spans="1:35" x14ac:dyDescent="0.35">
      <c r="A141" s="21" t="s">
        <v>30</v>
      </c>
      <c r="B141" s="21">
        <v>2016</v>
      </c>
      <c r="C141" s="21" t="s">
        <v>45</v>
      </c>
      <c r="D141" s="17" t="str">
        <f t="shared" si="4"/>
        <v>November-2016</v>
      </c>
      <c r="E141" s="21">
        <v>132</v>
      </c>
      <c r="F141" s="21">
        <v>137.4</v>
      </c>
      <c r="G141" s="21">
        <v>130.6</v>
      </c>
      <c r="H141" s="21">
        <v>136.19999999999999</v>
      </c>
      <c r="I141" s="21">
        <v>121.1</v>
      </c>
      <c r="J141" s="21">
        <v>136.9</v>
      </c>
      <c r="K141" s="21">
        <v>141.80000000000001</v>
      </c>
      <c r="L141" s="21">
        <v>170</v>
      </c>
      <c r="M141" s="21">
        <v>113.4</v>
      </c>
      <c r="N141" s="21">
        <v>136.80000000000001</v>
      </c>
      <c r="O141" s="21">
        <v>128.69999999999999</v>
      </c>
      <c r="P141" s="21">
        <v>143.1</v>
      </c>
      <c r="Q141" s="21">
        <v>136.6</v>
      </c>
      <c r="R141" s="21">
        <v>1764.6</v>
      </c>
      <c r="S141" s="21">
        <v>139.9</v>
      </c>
      <c r="T141" s="21">
        <v>134.5</v>
      </c>
      <c r="U141" s="21">
        <v>139.19999999999999</v>
      </c>
      <c r="V141" s="21">
        <v>413.59999999999997</v>
      </c>
      <c r="W141" s="21">
        <v>129.1</v>
      </c>
      <c r="X141" s="21">
        <v>132.1</v>
      </c>
      <c r="Y141" s="21">
        <v>261.2</v>
      </c>
      <c r="Z141" s="21">
        <v>129.1</v>
      </c>
      <c r="AA141" s="21">
        <v>123.5</v>
      </c>
      <c r="AB141" s="21">
        <f t="shared" si="5"/>
        <v>252.6</v>
      </c>
      <c r="AC141" s="21">
        <v>130.30000000000001</v>
      </c>
      <c r="AD141" s="21">
        <v>118.2</v>
      </c>
      <c r="AE141" s="21">
        <v>126.9</v>
      </c>
      <c r="AF141" s="21">
        <v>133.69999999999999</v>
      </c>
      <c r="AG141" s="21">
        <v>141.19999999999999</v>
      </c>
      <c r="AH141" s="21">
        <v>126.1</v>
      </c>
      <c r="AI141" s="21">
        <v>133.6</v>
      </c>
    </row>
    <row r="142" spans="1:35" x14ac:dyDescent="0.35">
      <c r="A142" s="21" t="s">
        <v>33</v>
      </c>
      <c r="B142" s="21">
        <v>2016</v>
      </c>
      <c r="C142" s="21" t="s">
        <v>45</v>
      </c>
      <c r="D142" s="17" t="str">
        <f t="shared" si="4"/>
        <v>November-2016</v>
      </c>
      <c r="E142" s="21">
        <v>130.19999999999999</v>
      </c>
      <c r="F142" s="21">
        <v>138.5</v>
      </c>
      <c r="G142" s="21">
        <v>134.1</v>
      </c>
      <c r="H142" s="21">
        <v>132.9</v>
      </c>
      <c r="I142" s="21">
        <v>112.6</v>
      </c>
      <c r="J142" s="21">
        <v>130.80000000000001</v>
      </c>
      <c r="K142" s="21">
        <v>142</v>
      </c>
      <c r="L142" s="21">
        <v>174.9</v>
      </c>
      <c r="M142" s="21">
        <v>115.6</v>
      </c>
      <c r="N142" s="21">
        <v>145.4</v>
      </c>
      <c r="O142" s="21">
        <v>122.7</v>
      </c>
      <c r="P142" s="21">
        <v>140.30000000000001</v>
      </c>
      <c r="Q142" s="21">
        <v>135.19999999999999</v>
      </c>
      <c r="R142" s="21">
        <v>1755.2</v>
      </c>
      <c r="S142" s="21">
        <v>129.6</v>
      </c>
      <c r="T142" s="21">
        <v>122.1</v>
      </c>
      <c r="U142" s="21">
        <v>128.5</v>
      </c>
      <c r="V142" s="21">
        <v>380.2</v>
      </c>
      <c r="W142" s="21">
        <v>129.1</v>
      </c>
      <c r="X142" s="21">
        <v>124.7</v>
      </c>
      <c r="Y142" s="21">
        <v>253.8</v>
      </c>
      <c r="Z142" s="21">
        <v>122.1</v>
      </c>
      <c r="AA142" s="21">
        <v>121.3</v>
      </c>
      <c r="AB142" s="21">
        <f t="shared" si="5"/>
        <v>243.39999999999998</v>
      </c>
      <c r="AC142" s="21">
        <v>116.2</v>
      </c>
      <c r="AD142" s="21">
        <v>113.4</v>
      </c>
      <c r="AE142" s="21">
        <v>121.7</v>
      </c>
      <c r="AF142" s="21">
        <v>132.1</v>
      </c>
      <c r="AG142" s="21">
        <v>144.30000000000001</v>
      </c>
      <c r="AH142" s="21">
        <v>121.3</v>
      </c>
      <c r="AI142" s="21">
        <v>128.5</v>
      </c>
    </row>
    <row r="143" spans="1:35" x14ac:dyDescent="0.35">
      <c r="A143" s="21" t="s">
        <v>34</v>
      </c>
      <c r="B143" s="21">
        <v>2016</v>
      </c>
      <c r="C143" s="21" t="s">
        <v>45</v>
      </c>
      <c r="D143" s="17" t="str">
        <f t="shared" si="4"/>
        <v>November-2016</v>
      </c>
      <c r="E143" s="21">
        <v>131.4</v>
      </c>
      <c r="F143" s="21">
        <v>137.80000000000001</v>
      </c>
      <c r="G143" s="21">
        <v>132</v>
      </c>
      <c r="H143" s="21">
        <v>135</v>
      </c>
      <c r="I143" s="21">
        <v>118</v>
      </c>
      <c r="J143" s="21">
        <v>134.1</v>
      </c>
      <c r="K143" s="21">
        <v>141.9</v>
      </c>
      <c r="L143" s="21">
        <v>171.7</v>
      </c>
      <c r="M143" s="21">
        <v>114.1</v>
      </c>
      <c r="N143" s="21">
        <v>139.69999999999999</v>
      </c>
      <c r="O143" s="21">
        <v>126.2</v>
      </c>
      <c r="P143" s="21">
        <v>141.80000000000001</v>
      </c>
      <c r="Q143" s="21">
        <v>136.1</v>
      </c>
      <c r="R143" s="21">
        <v>1759.8</v>
      </c>
      <c r="S143" s="21">
        <v>135.80000000000001</v>
      </c>
      <c r="T143" s="21">
        <v>129.30000000000001</v>
      </c>
      <c r="U143" s="21">
        <v>135</v>
      </c>
      <c r="V143" s="21">
        <v>400.1</v>
      </c>
      <c r="W143" s="21">
        <v>129.1</v>
      </c>
      <c r="X143" s="21">
        <v>128.6</v>
      </c>
      <c r="Y143" s="21">
        <v>257.7</v>
      </c>
      <c r="Z143" s="21">
        <v>126.4</v>
      </c>
      <c r="AA143" s="21">
        <v>122.6</v>
      </c>
      <c r="AB143" s="21">
        <f t="shared" si="5"/>
        <v>249</v>
      </c>
      <c r="AC143" s="21">
        <v>125</v>
      </c>
      <c r="AD143" s="21">
        <v>115.7</v>
      </c>
      <c r="AE143" s="21">
        <v>124</v>
      </c>
      <c r="AF143" s="21">
        <v>132.80000000000001</v>
      </c>
      <c r="AG143" s="21">
        <v>142</v>
      </c>
      <c r="AH143" s="21">
        <v>123.8</v>
      </c>
      <c r="AI143" s="21">
        <v>131.19999999999999</v>
      </c>
    </row>
    <row r="144" spans="1:35" x14ac:dyDescent="0.35">
      <c r="A144" s="21" t="s">
        <v>30</v>
      </c>
      <c r="B144" s="21">
        <v>2016</v>
      </c>
      <c r="C144" s="21" t="s">
        <v>46</v>
      </c>
      <c r="D144" s="17" t="str">
        <f t="shared" si="4"/>
        <v>December-2016</v>
      </c>
      <c r="E144" s="21">
        <v>132.6</v>
      </c>
      <c r="F144" s="21">
        <v>137.30000000000001</v>
      </c>
      <c r="G144" s="21">
        <v>131.6</v>
      </c>
      <c r="H144" s="21">
        <v>136.30000000000001</v>
      </c>
      <c r="I144" s="21">
        <v>121.6</v>
      </c>
      <c r="J144" s="21">
        <v>135.6</v>
      </c>
      <c r="K144" s="21">
        <v>127.5</v>
      </c>
      <c r="L144" s="21">
        <v>167.9</v>
      </c>
      <c r="M144" s="21">
        <v>113.8</v>
      </c>
      <c r="N144" s="21">
        <v>137.5</v>
      </c>
      <c r="O144" s="21">
        <v>129.1</v>
      </c>
      <c r="P144" s="21">
        <v>143.6</v>
      </c>
      <c r="Q144" s="21">
        <v>134.69999999999999</v>
      </c>
      <c r="R144" s="21">
        <v>1749.1</v>
      </c>
      <c r="S144" s="21">
        <v>140.4</v>
      </c>
      <c r="T144" s="21">
        <v>135.19999999999999</v>
      </c>
      <c r="U144" s="21">
        <v>139.69999999999999</v>
      </c>
      <c r="V144" s="21">
        <v>415.3</v>
      </c>
      <c r="W144" s="21">
        <v>128.5</v>
      </c>
      <c r="X144" s="21">
        <v>132.9</v>
      </c>
      <c r="Y144" s="21">
        <v>261.39999999999998</v>
      </c>
      <c r="Z144" s="21">
        <v>129.69999999999999</v>
      </c>
      <c r="AA144" s="21">
        <v>121.9</v>
      </c>
      <c r="AB144" s="21">
        <f t="shared" si="5"/>
        <v>251.6</v>
      </c>
      <c r="AC144" s="21">
        <v>132</v>
      </c>
      <c r="AD144" s="21">
        <v>118.6</v>
      </c>
      <c r="AE144" s="21">
        <v>127.3</v>
      </c>
      <c r="AF144" s="21">
        <v>134.19999999999999</v>
      </c>
      <c r="AG144" s="21">
        <v>142.4</v>
      </c>
      <c r="AH144" s="21">
        <v>126.3</v>
      </c>
      <c r="AI144" s="21">
        <v>132.80000000000001</v>
      </c>
    </row>
    <row r="145" spans="1:35" x14ac:dyDescent="0.35">
      <c r="A145" s="21" t="s">
        <v>33</v>
      </c>
      <c r="B145" s="21">
        <v>2016</v>
      </c>
      <c r="C145" s="21" t="s">
        <v>46</v>
      </c>
      <c r="D145" s="17" t="str">
        <f t="shared" si="4"/>
        <v>December-2016</v>
      </c>
      <c r="E145" s="21">
        <v>131.6</v>
      </c>
      <c r="F145" s="21">
        <v>138.19999999999999</v>
      </c>
      <c r="G145" s="21">
        <v>134.9</v>
      </c>
      <c r="H145" s="21">
        <v>133.1</v>
      </c>
      <c r="I145" s="21">
        <v>113.5</v>
      </c>
      <c r="J145" s="21">
        <v>129.30000000000001</v>
      </c>
      <c r="K145" s="21">
        <v>121.1</v>
      </c>
      <c r="L145" s="21">
        <v>170.3</v>
      </c>
      <c r="M145" s="21">
        <v>115.5</v>
      </c>
      <c r="N145" s="21">
        <v>145.5</v>
      </c>
      <c r="O145" s="21">
        <v>123.1</v>
      </c>
      <c r="P145" s="21">
        <v>140.9</v>
      </c>
      <c r="Q145" s="21">
        <v>132.80000000000001</v>
      </c>
      <c r="R145" s="21">
        <v>1729.8</v>
      </c>
      <c r="S145" s="21">
        <v>130</v>
      </c>
      <c r="T145" s="21">
        <v>122.2</v>
      </c>
      <c r="U145" s="21">
        <v>128.80000000000001</v>
      </c>
      <c r="V145" s="21">
        <v>381</v>
      </c>
      <c r="W145" s="21">
        <v>128.5</v>
      </c>
      <c r="X145" s="21">
        <v>125</v>
      </c>
      <c r="Y145" s="21">
        <v>253.5</v>
      </c>
      <c r="Z145" s="21">
        <v>122.3</v>
      </c>
      <c r="AA145" s="21">
        <v>119.9</v>
      </c>
      <c r="AB145" s="21">
        <f t="shared" si="5"/>
        <v>242.2</v>
      </c>
      <c r="AC145" s="21">
        <v>117.8</v>
      </c>
      <c r="AD145" s="21">
        <v>113.7</v>
      </c>
      <c r="AE145" s="21">
        <v>121.8</v>
      </c>
      <c r="AF145" s="21">
        <v>132.30000000000001</v>
      </c>
      <c r="AG145" s="21">
        <v>145</v>
      </c>
      <c r="AH145" s="21">
        <v>121.4</v>
      </c>
      <c r="AI145" s="21">
        <v>127.6</v>
      </c>
    </row>
    <row r="146" spans="1:35" x14ac:dyDescent="0.35">
      <c r="A146" s="21" t="s">
        <v>34</v>
      </c>
      <c r="B146" s="21">
        <v>2016</v>
      </c>
      <c r="C146" s="21" t="s">
        <v>46</v>
      </c>
      <c r="D146" s="17" t="str">
        <f t="shared" si="4"/>
        <v>December-2016</v>
      </c>
      <c r="E146" s="21">
        <v>132.30000000000001</v>
      </c>
      <c r="F146" s="21">
        <v>137.6</v>
      </c>
      <c r="G146" s="21">
        <v>132.9</v>
      </c>
      <c r="H146" s="21">
        <v>135.1</v>
      </c>
      <c r="I146" s="21">
        <v>118.6</v>
      </c>
      <c r="J146" s="21">
        <v>132.69999999999999</v>
      </c>
      <c r="K146" s="21">
        <v>125.3</v>
      </c>
      <c r="L146" s="21">
        <v>168.7</v>
      </c>
      <c r="M146" s="21">
        <v>114.4</v>
      </c>
      <c r="N146" s="21">
        <v>140.19999999999999</v>
      </c>
      <c r="O146" s="21">
        <v>126.6</v>
      </c>
      <c r="P146" s="21">
        <v>142.30000000000001</v>
      </c>
      <c r="Q146" s="21">
        <v>134</v>
      </c>
      <c r="R146" s="21">
        <v>1740.7</v>
      </c>
      <c r="S146" s="21">
        <v>136.30000000000001</v>
      </c>
      <c r="T146" s="21">
        <v>129.80000000000001</v>
      </c>
      <c r="U146" s="21">
        <v>135.4</v>
      </c>
      <c r="V146" s="21">
        <v>401.5</v>
      </c>
      <c r="W146" s="21">
        <v>128.5</v>
      </c>
      <c r="X146" s="21">
        <v>129.19999999999999</v>
      </c>
      <c r="Y146" s="21">
        <v>257.7</v>
      </c>
      <c r="Z146" s="21">
        <v>126.9</v>
      </c>
      <c r="AA146" s="21">
        <v>121.1</v>
      </c>
      <c r="AB146" s="21">
        <f t="shared" si="5"/>
        <v>248</v>
      </c>
      <c r="AC146" s="21">
        <v>126.6</v>
      </c>
      <c r="AD146" s="21">
        <v>116</v>
      </c>
      <c r="AE146" s="21">
        <v>124.2</v>
      </c>
      <c r="AF146" s="21">
        <v>133.1</v>
      </c>
      <c r="AG146" s="21">
        <v>143.1</v>
      </c>
      <c r="AH146" s="21">
        <v>123.9</v>
      </c>
      <c r="AI146" s="21">
        <v>130.4</v>
      </c>
    </row>
    <row r="147" spans="1:35" x14ac:dyDescent="0.35">
      <c r="A147" s="21" t="s">
        <v>30</v>
      </c>
      <c r="B147" s="21">
        <v>2017</v>
      </c>
      <c r="C147" s="21" t="s">
        <v>31</v>
      </c>
      <c r="D147" s="17" t="str">
        <f t="shared" si="4"/>
        <v>January-2017</v>
      </c>
      <c r="E147" s="21">
        <v>133.1</v>
      </c>
      <c r="F147" s="21">
        <v>137.80000000000001</v>
      </c>
      <c r="G147" s="21">
        <v>131.9</v>
      </c>
      <c r="H147" s="21">
        <v>136.69999999999999</v>
      </c>
      <c r="I147" s="21">
        <v>122</v>
      </c>
      <c r="J147" s="21">
        <v>136</v>
      </c>
      <c r="K147" s="21">
        <v>119.8</v>
      </c>
      <c r="L147" s="21">
        <v>161.69999999999999</v>
      </c>
      <c r="M147" s="21">
        <v>114.8</v>
      </c>
      <c r="N147" s="21">
        <v>136.9</v>
      </c>
      <c r="O147" s="21">
        <v>129</v>
      </c>
      <c r="P147" s="21">
        <v>143.9</v>
      </c>
      <c r="Q147" s="21">
        <v>133.69999999999999</v>
      </c>
      <c r="R147" s="21">
        <v>1737.3000000000002</v>
      </c>
      <c r="S147" s="21">
        <v>140.69999999999999</v>
      </c>
      <c r="T147" s="21">
        <v>135.80000000000001</v>
      </c>
      <c r="U147" s="21">
        <v>140</v>
      </c>
      <c r="V147" s="21">
        <v>416.5</v>
      </c>
      <c r="W147" s="21">
        <v>129.6</v>
      </c>
      <c r="X147" s="21">
        <v>133.19999999999999</v>
      </c>
      <c r="Y147" s="21">
        <v>262.79999999999995</v>
      </c>
      <c r="Z147" s="21">
        <v>129.9</v>
      </c>
      <c r="AA147" s="21">
        <v>122.3</v>
      </c>
      <c r="AB147" s="21">
        <f t="shared" si="5"/>
        <v>252.2</v>
      </c>
      <c r="AC147" s="21">
        <v>132.1</v>
      </c>
      <c r="AD147" s="21">
        <v>119.1</v>
      </c>
      <c r="AE147" s="21">
        <v>127</v>
      </c>
      <c r="AF147" s="21">
        <v>134.6</v>
      </c>
      <c r="AG147" s="21">
        <v>143.1</v>
      </c>
      <c r="AH147" s="21">
        <v>126.6</v>
      </c>
      <c r="AI147" s="21">
        <v>132.4</v>
      </c>
    </row>
    <row r="148" spans="1:35" x14ac:dyDescent="0.35">
      <c r="A148" s="21" t="s">
        <v>33</v>
      </c>
      <c r="B148" s="21">
        <v>2017</v>
      </c>
      <c r="C148" s="21" t="s">
        <v>31</v>
      </c>
      <c r="D148" s="17" t="str">
        <f t="shared" si="4"/>
        <v>January-2017</v>
      </c>
      <c r="E148" s="21">
        <v>132.19999999999999</v>
      </c>
      <c r="F148" s="21">
        <v>138.9</v>
      </c>
      <c r="G148" s="21">
        <v>132.6</v>
      </c>
      <c r="H148" s="21">
        <v>133.1</v>
      </c>
      <c r="I148" s="21">
        <v>114</v>
      </c>
      <c r="J148" s="21">
        <v>129.6</v>
      </c>
      <c r="K148" s="21">
        <v>118.7</v>
      </c>
      <c r="L148" s="21">
        <v>155.1</v>
      </c>
      <c r="M148" s="21">
        <v>117.3</v>
      </c>
      <c r="N148" s="21">
        <v>144.9</v>
      </c>
      <c r="O148" s="21">
        <v>123.2</v>
      </c>
      <c r="P148" s="21">
        <v>141.6</v>
      </c>
      <c r="Q148" s="21">
        <v>132</v>
      </c>
      <c r="R148" s="21">
        <v>1713.2</v>
      </c>
      <c r="S148" s="21">
        <v>130.19999999999999</v>
      </c>
      <c r="T148" s="21">
        <v>122.3</v>
      </c>
      <c r="U148" s="21">
        <v>129</v>
      </c>
      <c r="V148" s="21">
        <v>381.5</v>
      </c>
      <c r="W148" s="21">
        <v>129.6</v>
      </c>
      <c r="X148" s="21">
        <v>125.1</v>
      </c>
      <c r="Y148" s="21">
        <v>254.7</v>
      </c>
      <c r="Z148" s="21">
        <v>122.6</v>
      </c>
      <c r="AA148" s="21">
        <v>120.9</v>
      </c>
      <c r="AB148" s="21">
        <f t="shared" si="5"/>
        <v>243.5</v>
      </c>
      <c r="AC148" s="21">
        <v>118</v>
      </c>
      <c r="AD148" s="21">
        <v>115.2</v>
      </c>
      <c r="AE148" s="21">
        <v>122</v>
      </c>
      <c r="AF148" s="21">
        <v>132.4</v>
      </c>
      <c r="AG148" s="21">
        <v>145.6</v>
      </c>
      <c r="AH148" s="21">
        <v>122.1</v>
      </c>
      <c r="AI148" s="21">
        <v>127.8</v>
      </c>
    </row>
    <row r="149" spans="1:35" x14ac:dyDescent="0.35">
      <c r="A149" s="21" t="s">
        <v>34</v>
      </c>
      <c r="B149" s="21">
        <v>2017</v>
      </c>
      <c r="C149" s="21" t="s">
        <v>31</v>
      </c>
      <c r="D149" s="17" t="str">
        <f t="shared" si="4"/>
        <v>January-2017</v>
      </c>
      <c r="E149" s="21">
        <v>132.80000000000001</v>
      </c>
      <c r="F149" s="21">
        <v>138.19999999999999</v>
      </c>
      <c r="G149" s="21">
        <v>132.19999999999999</v>
      </c>
      <c r="H149" s="21">
        <v>135.4</v>
      </c>
      <c r="I149" s="21">
        <v>119.1</v>
      </c>
      <c r="J149" s="21">
        <v>133</v>
      </c>
      <c r="K149" s="21">
        <v>119.4</v>
      </c>
      <c r="L149" s="21">
        <v>159.5</v>
      </c>
      <c r="M149" s="21">
        <v>115.6</v>
      </c>
      <c r="N149" s="21">
        <v>139.6</v>
      </c>
      <c r="O149" s="21">
        <v>126.6</v>
      </c>
      <c r="P149" s="21">
        <v>142.80000000000001</v>
      </c>
      <c r="Q149" s="21">
        <v>133.1</v>
      </c>
      <c r="R149" s="21">
        <v>1727.2999999999995</v>
      </c>
      <c r="S149" s="21">
        <v>136.6</v>
      </c>
      <c r="T149" s="21">
        <v>130.19999999999999</v>
      </c>
      <c r="U149" s="21">
        <v>135.6</v>
      </c>
      <c r="V149" s="21">
        <v>402.4</v>
      </c>
      <c r="W149" s="21">
        <v>129.6</v>
      </c>
      <c r="X149" s="21">
        <v>129.4</v>
      </c>
      <c r="Y149" s="21">
        <v>259</v>
      </c>
      <c r="Z149" s="21">
        <v>127.1</v>
      </c>
      <c r="AA149" s="21">
        <v>121.7</v>
      </c>
      <c r="AB149" s="21">
        <f t="shared" si="5"/>
        <v>248.8</v>
      </c>
      <c r="AC149" s="21">
        <v>126.8</v>
      </c>
      <c r="AD149" s="21">
        <v>117</v>
      </c>
      <c r="AE149" s="21">
        <v>124.2</v>
      </c>
      <c r="AF149" s="21">
        <v>133.30000000000001</v>
      </c>
      <c r="AG149" s="21">
        <v>143.80000000000001</v>
      </c>
      <c r="AH149" s="21">
        <v>124.4</v>
      </c>
      <c r="AI149" s="21">
        <v>130.30000000000001</v>
      </c>
    </row>
    <row r="150" spans="1:35" x14ac:dyDescent="0.35">
      <c r="A150" s="21" t="s">
        <v>30</v>
      </c>
      <c r="B150" s="21">
        <v>2017</v>
      </c>
      <c r="C150" s="21" t="s">
        <v>35</v>
      </c>
      <c r="D150" s="17" t="str">
        <f t="shared" si="4"/>
        <v>February-2017</v>
      </c>
      <c r="E150" s="21">
        <v>133.30000000000001</v>
      </c>
      <c r="F150" s="21">
        <v>138.30000000000001</v>
      </c>
      <c r="G150" s="21">
        <v>129.30000000000001</v>
      </c>
      <c r="H150" s="21">
        <v>137.19999999999999</v>
      </c>
      <c r="I150" s="21">
        <v>122.1</v>
      </c>
      <c r="J150" s="21">
        <v>138.69999999999999</v>
      </c>
      <c r="K150" s="21">
        <v>119.1</v>
      </c>
      <c r="L150" s="21">
        <v>156.9</v>
      </c>
      <c r="M150" s="21">
        <v>116.2</v>
      </c>
      <c r="N150" s="21">
        <v>136</v>
      </c>
      <c r="O150" s="21">
        <v>129.4</v>
      </c>
      <c r="P150" s="21">
        <v>144.4</v>
      </c>
      <c r="Q150" s="21">
        <v>133.6</v>
      </c>
      <c r="R150" s="21">
        <v>1734.5000000000002</v>
      </c>
      <c r="S150" s="21">
        <v>140.9</v>
      </c>
      <c r="T150" s="21">
        <v>135.80000000000001</v>
      </c>
      <c r="U150" s="21">
        <v>140.19999999999999</v>
      </c>
      <c r="V150" s="21">
        <v>416.90000000000003</v>
      </c>
      <c r="W150" s="21">
        <v>130.5</v>
      </c>
      <c r="X150" s="21">
        <v>133.6</v>
      </c>
      <c r="Y150" s="21">
        <v>264.10000000000002</v>
      </c>
      <c r="Z150" s="21">
        <v>130.1</v>
      </c>
      <c r="AA150" s="21">
        <v>123.2</v>
      </c>
      <c r="AB150" s="21">
        <f t="shared" si="5"/>
        <v>253.3</v>
      </c>
      <c r="AC150" s="21">
        <v>133.19999999999999</v>
      </c>
      <c r="AD150" s="21">
        <v>119.5</v>
      </c>
      <c r="AE150" s="21">
        <v>127.7</v>
      </c>
      <c r="AF150" s="21">
        <v>134.9</v>
      </c>
      <c r="AG150" s="21">
        <v>143.69999999999999</v>
      </c>
      <c r="AH150" s="21">
        <v>127</v>
      </c>
      <c r="AI150" s="21">
        <v>132.6</v>
      </c>
    </row>
    <row r="151" spans="1:35" x14ac:dyDescent="0.35">
      <c r="A151" s="21" t="s">
        <v>33</v>
      </c>
      <c r="B151" s="21">
        <v>2017</v>
      </c>
      <c r="C151" s="21" t="s">
        <v>35</v>
      </c>
      <c r="D151" s="17" t="str">
        <f t="shared" si="4"/>
        <v>February-2017</v>
      </c>
      <c r="E151" s="21">
        <v>132.80000000000001</v>
      </c>
      <c r="F151" s="21">
        <v>139.80000000000001</v>
      </c>
      <c r="G151" s="21">
        <v>129.30000000000001</v>
      </c>
      <c r="H151" s="21">
        <v>133.5</v>
      </c>
      <c r="I151" s="21">
        <v>114.3</v>
      </c>
      <c r="J151" s="21">
        <v>131.4</v>
      </c>
      <c r="K151" s="21">
        <v>120.2</v>
      </c>
      <c r="L151" s="21">
        <v>143.1</v>
      </c>
      <c r="M151" s="21">
        <v>119.5</v>
      </c>
      <c r="N151" s="21">
        <v>144</v>
      </c>
      <c r="O151" s="21">
        <v>123.4</v>
      </c>
      <c r="P151" s="21">
        <v>141.9</v>
      </c>
      <c r="Q151" s="21">
        <v>132.1</v>
      </c>
      <c r="R151" s="21">
        <v>1705.3000000000002</v>
      </c>
      <c r="S151" s="21">
        <v>130.5</v>
      </c>
      <c r="T151" s="21">
        <v>122.5</v>
      </c>
      <c r="U151" s="21">
        <v>129.30000000000001</v>
      </c>
      <c r="V151" s="21">
        <v>382.3</v>
      </c>
      <c r="W151" s="21">
        <v>130.5</v>
      </c>
      <c r="X151" s="21">
        <v>125.3</v>
      </c>
      <c r="Y151" s="21">
        <v>255.8</v>
      </c>
      <c r="Z151" s="21">
        <v>122.9</v>
      </c>
      <c r="AA151" s="21">
        <v>121.7</v>
      </c>
      <c r="AB151" s="21">
        <f t="shared" si="5"/>
        <v>244.60000000000002</v>
      </c>
      <c r="AC151" s="21">
        <v>119.2</v>
      </c>
      <c r="AD151" s="21">
        <v>115.5</v>
      </c>
      <c r="AE151" s="21">
        <v>122.2</v>
      </c>
      <c r="AF151" s="21">
        <v>132.4</v>
      </c>
      <c r="AG151" s="21">
        <v>146.30000000000001</v>
      </c>
      <c r="AH151" s="21">
        <v>122.4</v>
      </c>
      <c r="AI151" s="21">
        <v>128.19999999999999</v>
      </c>
    </row>
    <row r="152" spans="1:35" x14ac:dyDescent="0.35">
      <c r="A152" s="21" t="s">
        <v>34</v>
      </c>
      <c r="B152" s="21">
        <v>2017</v>
      </c>
      <c r="C152" s="21" t="s">
        <v>35</v>
      </c>
      <c r="D152" s="17" t="str">
        <f t="shared" si="4"/>
        <v>February-2017</v>
      </c>
      <c r="E152" s="21">
        <v>133.1</v>
      </c>
      <c r="F152" s="21">
        <v>138.80000000000001</v>
      </c>
      <c r="G152" s="21">
        <v>129.30000000000001</v>
      </c>
      <c r="H152" s="21">
        <v>135.80000000000001</v>
      </c>
      <c r="I152" s="21">
        <v>119.2</v>
      </c>
      <c r="J152" s="21">
        <v>135.30000000000001</v>
      </c>
      <c r="K152" s="21">
        <v>119.5</v>
      </c>
      <c r="L152" s="21">
        <v>152.19999999999999</v>
      </c>
      <c r="M152" s="21">
        <v>117.3</v>
      </c>
      <c r="N152" s="21">
        <v>138.69999999999999</v>
      </c>
      <c r="O152" s="21">
        <v>126.9</v>
      </c>
      <c r="P152" s="21">
        <v>143.19999999999999</v>
      </c>
      <c r="Q152" s="21">
        <v>133</v>
      </c>
      <c r="R152" s="21">
        <v>1722.3000000000002</v>
      </c>
      <c r="S152" s="21">
        <v>136.80000000000001</v>
      </c>
      <c r="T152" s="21">
        <v>130.30000000000001</v>
      </c>
      <c r="U152" s="21">
        <v>135.9</v>
      </c>
      <c r="V152" s="21">
        <v>403</v>
      </c>
      <c r="W152" s="21">
        <v>130.5</v>
      </c>
      <c r="X152" s="21">
        <v>129.69999999999999</v>
      </c>
      <c r="Y152" s="21">
        <v>260.2</v>
      </c>
      <c r="Z152" s="21">
        <v>127.4</v>
      </c>
      <c r="AA152" s="21">
        <v>122.6</v>
      </c>
      <c r="AB152" s="21">
        <f t="shared" si="5"/>
        <v>250</v>
      </c>
      <c r="AC152" s="21">
        <v>127.9</v>
      </c>
      <c r="AD152" s="21">
        <v>117.4</v>
      </c>
      <c r="AE152" s="21">
        <v>124.6</v>
      </c>
      <c r="AF152" s="21">
        <v>133.4</v>
      </c>
      <c r="AG152" s="21">
        <v>144.4</v>
      </c>
      <c r="AH152" s="21">
        <v>124.8</v>
      </c>
      <c r="AI152" s="21">
        <v>130.6</v>
      </c>
    </row>
    <row r="153" spans="1:35" x14ac:dyDescent="0.35">
      <c r="A153" s="21" t="s">
        <v>30</v>
      </c>
      <c r="B153" s="21">
        <v>2017</v>
      </c>
      <c r="C153" s="21" t="s">
        <v>36</v>
      </c>
      <c r="D153" s="17" t="str">
        <f t="shared" si="4"/>
        <v>March-2017</v>
      </c>
      <c r="E153" s="21">
        <v>133.6</v>
      </c>
      <c r="F153" s="21">
        <v>138.80000000000001</v>
      </c>
      <c r="G153" s="21">
        <v>128.80000000000001</v>
      </c>
      <c r="H153" s="21">
        <v>137.19999999999999</v>
      </c>
      <c r="I153" s="21">
        <v>121.6</v>
      </c>
      <c r="J153" s="21">
        <v>139.69999999999999</v>
      </c>
      <c r="K153" s="21">
        <v>119.7</v>
      </c>
      <c r="L153" s="21">
        <v>148</v>
      </c>
      <c r="M153" s="21">
        <v>116.9</v>
      </c>
      <c r="N153" s="21">
        <v>135.6</v>
      </c>
      <c r="O153" s="21">
        <v>129.80000000000001</v>
      </c>
      <c r="P153" s="21">
        <v>145.4</v>
      </c>
      <c r="Q153" s="21">
        <v>133.4</v>
      </c>
      <c r="R153" s="21">
        <v>1728.5000000000002</v>
      </c>
      <c r="S153" s="21">
        <v>141.6</v>
      </c>
      <c r="T153" s="21">
        <v>136.19999999999999</v>
      </c>
      <c r="U153" s="21">
        <v>140.80000000000001</v>
      </c>
      <c r="V153" s="21">
        <v>418.59999999999997</v>
      </c>
      <c r="W153" s="21">
        <v>131.1</v>
      </c>
      <c r="X153" s="21">
        <v>134.1</v>
      </c>
      <c r="Y153" s="21">
        <v>265.2</v>
      </c>
      <c r="Z153" s="21">
        <v>130.6</v>
      </c>
      <c r="AA153" s="21">
        <v>123.3</v>
      </c>
      <c r="AB153" s="21">
        <f t="shared" si="5"/>
        <v>253.89999999999998</v>
      </c>
      <c r="AC153" s="21">
        <v>134.19999999999999</v>
      </c>
      <c r="AD153" s="21">
        <v>119.8</v>
      </c>
      <c r="AE153" s="21">
        <v>128.30000000000001</v>
      </c>
      <c r="AF153" s="21">
        <v>135.19999999999999</v>
      </c>
      <c r="AG153" s="21">
        <v>144.19999999999999</v>
      </c>
      <c r="AH153" s="21">
        <v>127.4</v>
      </c>
      <c r="AI153" s="21">
        <v>132.80000000000001</v>
      </c>
    </row>
    <row r="154" spans="1:35" x14ac:dyDescent="0.35">
      <c r="A154" s="21" t="s">
        <v>33</v>
      </c>
      <c r="B154" s="21">
        <v>2017</v>
      </c>
      <c r="C154" s="21" t="s">
        <v>36</v>
      </c>
      <c r="D154" s="17" t="str">
        <f t="shared" si="4"/>
        <v>March-2017</v>
      </c>
      <c r="E154" s="21">
        <v>132.69999999999999</v>
      </c>
      <c r="F154" s="21">
        <v>139.4</v>
      </c>
      <c r="G154" s="21">
        <v>128.4</v>
      </c>
      <c r="H154" s="21">
        <v>134.9</v>
      </c>
      <c r="I154" s="21">
        <v>114</v>
      </c>
      <c r="J154" s="21">
        <v>136.80000000000001</v>
      </c>
      <c r="K154" s="21">
        <v>122.2</v>
      </c>
      <c r="L154" s="21">
        <v>135.80000000000001</v>
      </c>
      <c r="M154" s="21">
        <v>120.3</v>
      </c>
      <c r="N154" s="21">
        <v>142.6</v>
      </c>
      <c r="O154" s="21">
        <v>123.6</v>
      </c>
      <c r="P154" s="21">
        <v>142.4</v>
      </c>
      <c r="Q154" s="21">
        <v>132.6</v>
      </c>
      <c r="R154" s="21">
        <v>1705.6999999999998</v>
      </c>
      <c r="S154" s="21">
        <v>130.80000000000001</v>
      </c>
      <c r="T154" s="21">
        <v>122.8</v>
      </c>
      <c r="U154" s="21">
        <v>129.6</v>
      </c>
      <c r="V154" s="21">
        <v>383.20000000000005</v>
      </c>
      <c r="W154" s="21">
        <v>131.1</v>
      </c>
      <c r="X154" s="21">
        <v>125.6</v>
      </c>
      <c r="Y154" s="21">
        <v>256.7</v>
      </c>
      <c r="Z154" s="21">
        <v>123.1</v>
      </c>
      <c r="AA154" s="21">
        <v>121.7</v>
      </c>
      <c r="AB154" s="21">
        <f t="shared" si="5"/>
        <v>244.8</v>
      </c>
      <c r="AC154" s="21">
        <v>120.8</v>
      </c>
      <c r="AD154" s="21">
        <v>115.6</v>
      </c>
      <c r="AE154" s="21">
        <v>122.4</v>
      </c>
      <c r="AF154" s="21">
        <v>132.80000000000001</v>
      </c>
      <c r="AG154" s="21">
        <v>147.5</v>
      </c>
      <c r="AH154" s="21">
        <v>122.6</v>
      </c>
      <c r="AI154" s="21">
        <v>128.69999999999999</v>
      </c>
    </row>
    <row r="155" spans="1:35" x14ac:dyDescent="0.35">
      <c r="A155" s="21" t="s">
        <v>34</v>
      </c>
      <c r="B155" s="21">
        <v>2017</v>
      </c>
      <c r="C155" s="21" t="s">
        <v>36</v>
      </c>
      <c r="D155" s="17" t="str">
        <f t="shared" si="4"/>
        <v>March-2017</v>
      </c>
      <c r="E155" s="21">
        <v>133.30000000000001</v>
      </c>
      <c r="F155" s="21">
        <v>139</v>
      </c>
      <c r="G155" s="21">
        <v>128.6</v>
      </c>
      <c r="H155" s="21">
        <v>136.30000000000001</v>
      </c>
      <c r="I155" s="21">
        <v>118.8</v>
      </c>
      <c r="J155" s="21">
        <v>138.30000000000001</v>
      </c>
      <c r="K155" s="21">
        <v>120.5</v>
      </c>
      <c r="L155" s="21">
        <v>143.9</v>
      </c>
      <c r="M155" s="21">
        <v>118</v>
      </c>
      <c r="N155" s="21">
        <v>137.9</v>
      </c>
      <c r="O155" s="21">
        <v>127.2</v>
      </c>
      <c r="P155" s="21">
        <v>144</v>
      </c>
      <c r="Q155" s="21">
        <v>133.1</v>
      </c>
      <c r="R155" s="21">
        <v>1718.9</v>
      </c>
      <c r="S155" s="21">
        <v>137.30000000000001</v>
      </c>
      <c r="T155" s="21">
        <v>130.6</v>
      </c>
      <c r="U155" s="21">
        <v>136.4</v>
      </c>
      <c r="V155" s="21">
        <v>404.29999999999995</v>
      </c>
      <c r="W155" s="21">
        <v>131.1</v>
      </c>
      <c r="X155" s="21">
        <v>130.1</v>
      </c>
      <c r="Y155" s="21">
        <v>261.2</v>
      </c>
      <c r="Z155" s="21">
        <v>127.8</v>
      </c>
      <c r="AA155" s="21">
        <v>122.6</v>
      </c>
      <c r="AB155" s="21">
        <f t="shared" si="5"/>
        <v>250.39999999999998</v>
      </c>
      <c r="AC155" s="21">
        <v>129.1</v>
      </c>
      <c r="AD155" s="21">
        <v>117.6</v>
      </c>
      <c r="AE155" s="21">
        <v>125</v>
      </c>
      <c r="AF155" s="21">
        <v>133.80000000000001</v>
      </c>
      <c r="AG155" s="21">
        <v>145.1</v>
      </c>
      <c r="AH155" s="21">
        <v>125.1</v>
      </c>
      <c r="AI155" s="21">
        <v>130.9</v>
      </c>
    </row>
    <row r="156" spans="1:35" x14ac:dyDescent="0.35">
      <c r="A156" s="21" t="s">
        <v>30</v>
      </c>
      <c r="B156" s="21">
        <v>2017</v>
      </c>
      <c r="C156" s="21" t="s">
        <v>37</v>
      </c>
      <c r="D156" s="17" t="str">
        <f t="shared" si="4"/>
        <v>April-2017</v>
      </c>
      <c r="E156" s="21">
        <v>133.19999999999999</v>
      </c>
      <c r="F156" s="21">
        <v>138.69999999999999</v>
      </c>
      <c r="G156" s="21">
        <v>127.1</v>
      </c>
      <c r="H156" s="21">
        <v>137.69999999999999</v>
      </c>
      <c r="I156" s="21">
        <v>121.3</v>
      </c>
      <c r="J156" s="21">
        <v>141.80000000000001</v>
      </c>
      <c r="K156" s="21">
        <v>121.5</v>
      </c>
      <c r="L156" s="21">
        <v>144.5</v>
      </c>
      <c r="M156" s="21">
        <v>117.4</v>
      </c>
      <c r="N156" s="21">
        <v>134.1</v>
      </c>
      <c r="O156" s="21">
        <v>130</v>
      </c>
      <c r="P156" s="21">
        <v>145.5</v>
      </c>
      <c r="Q156" s="21">
        <v>133.5</v>
      </c>
      <c r="R156" s="21">
        <v>1726.3</v>
      </c>
      <c r="S156" s="21">
        <v>142.4</v>
      </c>
      <c r="T156" s="21">
        <v>136.80000000000001</v>
      </c>
      <c r="U156" s="21">
        <v>141.6</v>
      </c>
      <c r="V156" s="21">
        <v>420.80000000000007</v>
      </c>
      <c r="W156" s="21">
        <v>131.69999999999999</v>
      </c>
      <c r="X156" s="21">
        <v>134.30000000000001</v>
      </c>
      <c r="Y156" s="21">
        <v>266</v>
      </c>
      <c r="Z156" s="21">
        <v>131</v>
      </c>
      <c r="AA156" s="21">
        <v>123.7</v>
      </c>
      <c r="AB156" s="21">
        <f t="shared" si="5"/>
        <v>254.7</v>
      </c>
      <c r="AC156" s="21">
        <v>135</v>
      </c>
      <c r="AD156" s="21">
        <v>119.2</v>
      </c>
      <c r="AE156" s="21">
        <v>128.30000000000001</v>
      </c>
      <c r="AF156" s="21">
        <v>135.69999999999999</v>
      </c>
      <c r="AG156" s="21">
        <v>144.4</v>
      </c>
      <c r="AH156" s="21">
        <v>127.5</v>
      </c>
      <c r="AI156" s="21">
        <v>132.9</v>
      </c>
    </row>
    <row r="157" spans="1:35" x14ac:dyDescent="0.35">
      <c r="A157" s="21" t="s">
        <v>33</v>
      </c>
      <c r="B157" s="21">
        <v>2017</v>
      </c>
      <c r="C157" s="21" t="s">
        <v>37</v>
      </c>
      <c r="D157" s="17" t="str">
        <f t="shared" si="4"/>
        <v>April-2017</v>
      </c>
      <c r="E157" s="21">
        <v>132.69999999999999</v>
      </c>
      <c r="F157" s="21">
        <v>140.6</v>
      </c>
      <c r="G157" s="21">
        <v>124.5</v>
      </c>
      <c r="H157" s="21">
        <v>136.30000000000001</v>
      </c>
      <c r="I157" s="21">
        <v>113.5</v>
      </c>
      <c r="J157" s="21">
        <v>137.69999999999999</v>
      </c>
      <c r="K157" s="21">
        <v>127.1</v>
      </c>
      <c r="L157" s="21">
        <v>133.80000000000001</v>
      </c>
      <c r="M157" s="21">
        <v>120.8</v>
      </c>
      <c r="N157" s="21">
        <v>141.30000000000001</v>
      </c>
      <c r="O157" s="21">
        <v>123.8</v>
      </c>
      <c r="P157" s="21">
        <v>142.6</v>
      </c>
      <c r="Q157" s="21">
        <v>133.4</v>
      </c>
      <c r="R157" s="21">
        <v>1708.1</v>
      </c>
      <c r="S157" s="21">
        <v>131.19999999999999</v>
      </c>
      <c r="T157" s="21">
        <v>123</v>
      </c>
      <c r="U157" s="21">
        <v>130</v>
      </c>
      <c r="V157" s="21">
        <v>384.2</v>
      </c>
      <c r="W157" s="21">
        <v>131.69999999999999</v>
      </c>
      <c r="X157" s="21">
        <v>126</v>
      </c>
      <c r="Y157" s="21">
        <v>257.7</v>
      </c>
      <c r="Z157" s="21">
        <v>123.4</v>
      </c>
      <c r="AA157" s="21">
        <v>122.2</v>
      </c>
      <c r="AB157" s="21">
        <f t="shared" si="5"/>
        <v>245.60000000000002</v>
      </c>
      <c r="AC157" s="21">
        <v>121.4</v>
      </c>
      <c r="AD157" s="21">
        <v>114.3</v>
      </c>
      <c r="AE157" s="21">
        <v>122.6</v>
      </c>
      <c r="AF157" s="21">
        <v>133.6</v>
      </c>
      <c r="AG157" s="21">
        <v>148</v>
      </c>
      <c r="AH157" s="21">
        <v>122.5</v>
      </c>
      <c r="AI157" s="21">
        <v>129.1</v>
      </c>
    </row>
    <row r="158" spans="1:35" x14ac:dyDescent="0.35">
      <c r="A158" s="21" t="s">
        <v>34</v>
      </c>
      <c r="B158" s="21">
        <v>2017</v>
      </c>
      <c r="C158" s="21" t="s">
        <v>37</v>
      </c>
      <c r="D158" s="17" t="str">
        <f t="shared" si="4"/>
        <v>April-2017</v>
      </c>
      <c r="E158" s="21">
        <v>133</v>
      </c>
      <c r="F158" s="21">
        <v>139.4</v>
      </c>
      <c r="G158" s="21">
        <v>126.1</v>
      </c>
      <c r="H158" s="21">
        <v>137.19999999999999</v>
      </c>
      <c r="I158" s="21">
        <v>118.4</v>
      </c>
      <c r="J158" s="21">
        <v>139.9</v>
      </c>
      <c r="K158" s="21">
        <v>123.4</v>
      </c>
      <c r="L158" s="21">
        <v>140.9</v>
      </c>
      <c r="M158" s="21">
        <v>118.5</v>
      </c>
      <c r="N158" s="21">
        <v>136.5</v>
      </c>
      <c r="O158" s="21">
        <v>127.4</v>
      </c>
      <c r="P158" s="21">
        <v>144.19999999999999</v>
      </c>
      <c r="Q158" s="21">
        <v>133.5</v>
      </c>
      <c r="R158" s="21">
        <v>1718.4</v>
      </c>
      <c r="S158" s="21">
        <v>138</v>
      </c>
      <c r="T158" s="21">
        <v>131.1</v>
      </c>
      <c r="U158" s="21">
        <v>137</v>
      </c>
      <c r="V158" s="21">
        <v>406.1</v>
      </c>
      <c r="W158" s="21">
        <v>131.69999999999999</v>
      </c>
      <c r="X158" s="21">
        <v>130.4</v>
      </c>
      <c r="Y158" s="21">
        <v>262.10000000000002</v>
      </c>
      <c r="Z158" s="21">
        <v>128.1</v>
      </c>
      <c r="AA158" s="21">
        <v>123.1</v>
      </c>
      <c r="AB158" s="21">
        <f t="shared" si="5"/>
        <v>251.2</v>
      </c>
      <c r="AC158" s="21">
        <v>129.80000000000001</v>
      </c>
      <c r="AD158" s="21">
        <v>116.6</v>
      </c>
      <c r="AE158" s="21">
        <v>125.1</v>
      </c>
      <c r="AF158" s="21">
        <v>134.5</v>
      </c>
      <c r="AG158" s="21">
        <v>145.4</v>
      </c>
      <c r="AH158" s="21">
        <v>125.1</v>
      </c>
      <c r="AI158" s="21">
        <v>131.1</v>
      </c>
    </row>
    <row r="159" spans="1:35" x14ac:dyDescent="0.35">
      <c r="A159" s="21" t="s">
        <v>30</v>
      </c>
      <c r="B159" s="21">
        <v>2017</v>
      </c>
      <c r="C159" s="21" t="s">
        <v>38</v>
      </c>
      <c r="D159" s="17" t="str">
        <f t="shared" si="4"/>
        <v>May-2017</v>
      </c>
      <c r="E159" s="21">
        <v>133.1</v>
      </c>
      <c r="F159" s="21">
        <v>140.30000000000001</v>
      </c>
      <c r="G159" s="21">
        <v>126.8</v>
      </c>
      <c r="H159" s="21">
        <v>138.19999999999999</v>
      </c>
      <c r="I159" s="21">
        <v>120.8</v>
      </c>
      <c r="J159" s="21">
        <v>140.19999999999999</v>
      </c>
      <c r="K159" s="21">
        <v>123.8</v>
      </c>
      <c r="L159" s="21">
        <v>141.80000000000001</v>
      </c>
      <c r="M159" s="21">
        <v>118.6</v>
      </c>
      <c r="N159" s="21">
        <v>134</v>
      </c>
      <c r="O159" s="21">
        <v>130.30000000000001</v>
      </c>
      <c r="P159" s="21">
        <v>145.80000000000001</v>
      </c>
      <c r="Q159" s="21">
        <v>133.80000000000001</v>
      </c>
      <c r="R159" s="21">
        <v>1727.4999999999995</v>
      </c>
      <c r="S159" s="21">
        <v>142.5</v>
      </c>
      <c r="T159" s="21">
        <v>137.30000000000001</v>
      </c>
      <c r="U159" s="21">
        <v>141.80000000000001</v>
      </c>
      <c r="V159" s="21">
        <v>421.6</v>
      </c>
      <c r="W159" s="21">
        <v>132.1</v>
      </c>
      <c r="X159" s="21">
        <v>134.9</v>
      </c>
      <c r="Y159" s="21">
        <v>267</v>
      </c>
      <c r="Z159" s="21">
        <v>131.4</v>
      </c>
      <c r="AA159" s="21">
        <v>123.7</v>
      </c>
      <c r="AB159" s="21">
        <f t="shared" si="5"/>
        <v>255.10000000000002</v>
      </c>
      <c r="AC159" s="21">
        <v>135</v>
      </c>
      <c r="AD159" s="21">
        <v>119.4</v>
      </c>
      <c r="AE159" s="21">
        <v>129.4</v>
      </c>
      <c r="AF159" s="21">
        <v>136.30000000000001</v>
      </c>
      <c r="AG159" s="21">
        <v>145.5</v>
      </c>
      <c r="AH159" s="21">
        <v>127.9</v>
      </c>
      <c r="AI159" s="21">
        <v>133.30000000000001</v>
      </c>
    </row>
    <row r="160" spans="1:35" x14ac:dyDescent="0.35">
      <c r="A160" s="21" t="s">
        <v>33</v>
      </c>
      <c r="B160" s="21">
        <v>2017</v>
      </c>
      <c r="C160" s="21" t="s">
        <v>38</v>
      </c>
      <c r="D160" s="17" t="str">
        <f t="shared" si="4"/>
        <v>May-2017</v>
      </c>
      <c r="E160" s="21">
        <v>132.6</v>
      </c>
      <c r="F160" s="21">
        <v>144.1</v>
      </c>
      <c r="G160" s="21">
        <v>125.6</v>
      </c>
      <c r="H160" s="21">
        <v>136.80000000000001</v>
      </c>
      <c r="I160" s="21">
        <v>113.4</v>
      </c>
      <c r="J160" s="21">
        <v>135.19999999999999</v>
      </c>
      <c r="K160" s="21">
        <v>129.19999999999999</v>
      </c>
      <c r="L160" s="21">
        <v>131.5</v>
      </c>
      <c r="M160" s="21">
        <v>121</v>
      </c>
      <c r="N160" s="21">
        <v>139.9</v>
      </c>
      <c r="O160" s="21">
        <v>123.8</v>
      </c>
      <c r="P160" s="21">
        <v>142.9</v>
      </c>
      <c r="Q160" s="21">
        <v>133.6</v>
      </c>
      <c r="R160" s="21">
        <v>1709.6</v>
      </c>
      <c r="S160" s="21">
        <v>131.5</v>
      </c>
      <c r="T160" s="21">
        <v>123.2</v>
      </c>
      <c r="U160" s="21">
        <v>130.19999999999999</v>
      </c>
      <c r="V160" s="21">
        <v>384.9</v>
      </c>
      <c r="W160" s="21">
        <v>132.1</v>
      </c>
      <c r="X160" s="21">
        <v>126.5</v>
      </c>
      <c r="Y160" s="21">
        <v>258.60000000000002</v>
      </c>
      <c r="Z160" s="21">
        <v>123.6</v>
      </c>
      <c r="AA160" s="21">
        <v>122</v>
      </c>
      <c r="AB160" s="21">
        <f t="shared" si="5"/>
        <v>245.6</v>
      </c>
      <c r="AC160" s="21">
        <v>120.1</v>
      </c>
      <c r="AD160" s="21">
        <v>114.3</v>
      </c>
      <c r="AE160" s="21">
        <v>122.8</v>
      </c>
      <c r="AF160" s="21">
        <v>133.80000000000001</v>
      </c>
      <c r="AG160" s="21">
        <v>148.30000000000001</v>
      </c>
      <c r="AH160" s="21">
        <v>122.6</v>
      </c>
      <c r="AI160" s="21">
        <v>129.30000000000001</v>
      </c>
    </row>
    <row r="161" spans="1:35" x14ac:dyDescent="0.35">
      <c r="A161" s="21" t="s">
        <v>34</v>
      </c>
      <c r="B161" s="21">
        <v>2017</v>
      </c>
      <c r="C161" s="21" t="s">
        <v>38</v>
      </c>
      <c r="D161" s="17" t="str">
        <f t="shared" si="4"/>
        <v>May-2017</v>
      </c>
      <c r="E161" s="21">
        <v>132.9</v>
      </c>
      <c r="F161" s="21">
        <v>141.6</v>
      </c>
      <c r="G161" s="21">
        <v>126.3</v>
      </c>
      <c r="H161" s="21">
        <v>137.69999999999999</v>
      </c>
      <c r="I161" s="21">
        <v>118.1</v>
      </c>
      <c r="J161" s="21">
        <v>137.9</v>
      </c>
      <c r="K161" s="21">
        <v>125.6</v>
      </c>
      <c r="L161" s="21">
        <v>138.30000000000001</v>
      </c>
      <c r="M161" s="21">
        <v>119.4</v>
      </c>
      <c r="N161" s="21">
        <v>136</v>
      </c>
      <c r="O161" s="21">
        <v>127.6</v>
      </c>
      <c r="P161" s="21">
        <v>144.5</v>
      </c>
      <c r="Q161" s="21">
        <v>133.69999999999999</v>
      </c>
      <c r="R161" s="21">
        <v>1719.6000000000001</v>
      </c>
      <c r="S161" s="21">
        <v>138.19999999999999</v>
      </c>
      <c r="T161" s="21">
        <v>131.4</v>
      </c>
      <c r="U161" s="21">
        <v>137.19999999999999</v>
      </c>
      <c r="V161" s="21">
        <v>406.8</v>
      </c>
      <c r="W161" s="21">
        <v>132.1</v>
      </c>
      <c r="X161" s="21">
        <v>130.9</v>
      </c>
      <c r="Y161" s="21">
        <v>263</v>
      </c>
      <c r="Z161" s="21">
        <v>128.4</v>
      </c>
      <c r="AA161" s="21">
        <v>123</v>
      </c>
      <c r="AB161" s="21">
        <f t="shared" si="5"/>
        <v>251.4</v>
      </c>
      <c r="AC161" s="21">
        <v>129.4</v>
      </c>
      <c r="AD161" s="21">
        <v>116.7</v>
      </c>
      <c r="AE161" s="21">
        <v>125.7</v>
      </c>
      <c r="AF161" s="21">
        <v>134.80000000000001</v>
      </c>
      <c r="AG161" s="21">
        <v>146.19999999999999</v>
      </c>
      <c r="AH161" s="21">
        <v>125.3</v>
      </c>
      <c r="AI161" s="21">
        <v>131.4</v>
      </c>
    </row>
    <row r="162" spans="1:35" x14ac:dyDescent="0.35">
      <c r="A162" s="21" t="s">
        <v>30</v>
      </c>
      <c r="B162" s="21">
        <v>2017</v>
      </c>
      <c r="C162" s="21" t="s">
        <v>39</v>
      </c>
      <c r="D162" s="17" t="str">
        <f t="shared" si="4"/>
        <v>June-2017</v>
      </c>
      <c r="E162" s="21">
        <v>133.5</v>
      </c>
      <c r="F162" s="21">
        <v>143.69999999999999</v>
      </c>
      <c r="G162" s="21">
        <v>128</v>
      </c>
      <c r="H162" s="21">
        <v>138.6</v>
      </c>
      <c r="I162" s="21">
        <v>120.9</v>
      </c>
      <c r="J162" s="21">
        <v>140.9</v>
      </c>
      <c r="K162" s="21">
        <v>128.80000000000001</v>
      </c>
      <c r="L162" s="21">
        <v>140.19999999999999</v>
      </c>
      <c r="M162" s="21">
        <v>118.9</v>
      </c>
      <c r="N162" s="21">
        <v>133.5</v>
      </c>
      <c r="O162" s="21">
        <v>130.4</v>
      </c>
      <c r="P162" s="21">
        <v>146.5</v>
      </c>
      <c r="Q162" s="21">
        <v>134.9</v>
      </c>
      <c r="R162" s="21">
        <v>1738.8000000000002</v>
      </c>
      <c r="S162" s="21">
        <v>143.1</v>
      </c>
      <c r="T162" s="21">
        <v>137.69999999999999</v>
      </c>
      <c r="U162" s="21">
        <v>142.30000000000001</v>
      </c>
      <c r="V162" s="21">
        <v>423.09999999999997</v>
      </c>
      <c r="W162" s="21">
        <v>131.4</v>
      </c>
      <c r="X162" s="21">
        <v>135.19999999999999</v>
      </c>
      <c r="Y162" s="21">
        <v>266.60000000000002</v>
      </c>
      <c r="Z162" s="21">
        <v>131.30000000000001</v>
      </c>
      <c r="AA162" s="21">
        <v>124.1</v>
      </c>
      <c r="AB162" s="21">
        <f t="shared" si="5"/>
        <v>255.4</v>
      </c>
      <c r="AC162" s="21">
        <v>134.80000000000001</v>
      </c>
      <c r="AD162" s="21">
        <v>119.4</v>
      </c>
      <c r="AE162" s="21">
        <v>129.80000000000001</v>
      </c>
      <c r="AF162" s="21">
        <v>136.9</v>
      </c>
      <c r="AG162" s="21">
        <v>145.80000000000001</v>
      </c>
      <c r="AH162" s="21">
        <v>128.1</v>
      </c>
      <c r="AI162" s="21">
        <v>133.9</v>
      </c>
    </row>
    <row r="163" spans="1:35" x14ac:dyDescent="0.35">
      <c r="A163" s="21" t="s">
        <v>33</v>
      </c>
      <c r="B163" s="21">
        <v>2017</v>
      </c>
      <c r="C163" s="21" t="s">
        <v>39</v>
      </c>
      <c r="D163" s="17" t="str">
        <f t="shared" si="4"/>
        <v>June-2017</v>
      </c>
      <c r="E163" s="21">
        <v>132.9</v>
      </c>
      <c r="F163" s="21">
        <v>148.69999999999999</v>
      </c>
      <c r="G163" s="21">
        <v>128.30000000000001</v>
      </c>
      <c r="H163" s="21">
        <v>137.30000000000001</v>
      </c>
      <c r="I163" s="21">
        <v>113.5</v>
      </c>
      <c r="J163" s="21">
        <v>137.19999999999999</v>
      </c>
      <c r="K163" s="21">
        <v>142.19999999999999</v>
      </c>
      <c r="L163" s="21">
        <v>128.19999999999999</v>
      </c>
      <c r="M163" s="21">
        <v>120.9</v>
      </c>
      <c r="N163" s="21">
        <v>138.80000000000001</v>
      </c>
      <c r="O163" s="21">
        <v>124.2</v>
      </c>
      <c r="P163" s="21">
        <v>143.1</v>
      </c>
      <c r="Q163" s="21">
        <v>135.69999999999999</v>
      </c>
      <c r="R163" s="21">
        <v>1731.0000000000002</v>
      </c>
      <c r="S163" s="21">
        <v>131.5</v>
      </c>
      <c r="T163" s="21">
        <v>123.2</v>
      </c>
      <c r="U163" s="21">
        <v>130.19999999999999</v>
      </c>
      <c r="V163" s="21">
        <v>384.9</v>
      </c>
      <c r="W163" s="21">
        <v>131.4</v>
      </c>
      <c r="X163" s="21">
        <v>126.8</v>
      </c>
      <c r="Y163" s="21">
        <v>258.2</v>
      </c>
      <c r="Z163" s="21">
        <v>123.8</v>
      </c>
      <c r="AA163" s="21">
        <v>122.5</v>
      </c>
      <c r="AB163" s="21">
        <f t="shared" si="5"/>
        <v>246.3</v>
      </c>
      <c r="AC163" s="21">
        <v>119</v>
      </c>
      <c r="AD163" s="21">
        <v>113.9</v>
      </c>
      <c r="AE163" s="21">
        <v>122.9</v>
      </c>
      <c r="AF163" s="21">
        <v>134.30000000000001</v>
      </c>
      <c r="AG163" s="21">
        <v>148.6</v>
      </c>
      <c r="AH163" s="21">
        <v>122.7</v>
      </c>
      <c r="AI163" s="21">
        <v>129.9</v>
      </c>
    </row>
    <row r="164" spans="1:35" x14ac:dyDescent="0.35">
      <c r="A164" s="21" t="s">
        <v>34</v>
      </c>
      <c r="B164" s="21">
        <v>2017</v>
      </c>
      <c r="C164" s="21" t="s">
        <v>39</v>
      </c>
      <c r="D164" s="17" t="str">
        <f t="shared" si="4"/>
        <v>June-2017</v>
      </c>
      <c r="E164" s="21">
        <v>133.30000000000001</v>
      </c>
      <c r="F164" s="21">
        <v>145.5</v>
      </c>
      <c r="G164" s="21">
        <v>128.1</v>
      </c>
      <c r="H164" s="21">
        <v>138.1</v>
      </c>
      <c r="I164" s="21">
        <v>118.2</v>
      </c>
      <c r="J164" s="21">
        <v>139.19999999999999</v>
      </c>
      <c r="K164" s="21">
        <v>133.30000000000001</v>
      </c>
      <c r="L164" s="21">
        <v>136.19999999999999</v>
      </c>
      <c r="M164" s="21">
        <v>119.6</v>
      </c>
      <c r="N164" s="21">
        <v>135.30000000000001</v>
      </c>
      <c r="O164" s="21">
        <v>127.8</v>
      </c>
      <c r="P164" s="21">
        <v>144.9</v>
      </c>
      <c r="Q164" s="21">
        <v>135.19999999999999</v>
      </c>
      <c r="R164" s="21">
        <v>1734.7</v>
      </c>
      <c r="S164" s="21">
        <v>138.5</v>
      </c>
      <c r="T164" s="21">
        <v>131.69999999999999</v>
      </c>
      <c r="U164" s="21">
        <v>137.5</v>
      </c>
      <c r="V164" s="21">
        <v>407.7</v>
      </c>
      <c r="W164" s="21">
        <v>131.4</v>
      </c>
      <c r="X164" s="21">
        <v>131.19999999999999</v>
      </c>
      <c r="Y164" s="21">
        <v>262.60000000000002</v>
      </c>
      <c r="Z164" s="21">
        <v>128.5</v>
      </c>
      <c r="AA164" s="21">
        <v>123.4</v>
      </c>
      <c r="AB164" s="21">
        <f t="shared" si="5"/>
        <v>251.9</v>
      </c>
      <c r="AC164" s="21">
        <v>128.80000000000001</v>
      </c>
      <c r="AD164" s="21">
        <v>116.5</v>
      </c>
      <c r="AE164" s="21">
        <v>125.9</v>
      </c>
      <c r="AF164" s="21">
        <v>135.4</v>
      </c>
      <c r="AG164" s="21">
        <v>146.5</v>
      </c>
      <c r="AH164" s="21">
        <v>125.5</v>
      </c>
      <c r="AI164" s="21">
        <v>132</v>
      </c>
    </row>
    <row r="165" spans="1:35" x14ac:dyDescent="0.35">
      <c r="A165" s="21" t="s">
        <v>30</v>
      </c>
      <c r="B165" s="21">
        <v>2017</v>
      </c>
      <c r="C165" s="21" t="s">
        <v>40</v>
      </c>
      <c r="D165" s="17" t="str">
        <f t="shared" si="4"/>
        <v>July-2017</v>
      </c>
      <c r="E165" s="21">
        <v>134</v>
      </c>
      <c r="F165" s="21">
        <v>144.19999999999999</v>
      </c>
      <c r="G165" s="21">
        <v>129.80000000000001</v>
      </c>
      <c r="H165" s="21">
        <v>139</v>
      </c>
      <c r="I165" s="21">
        <v>120.9</v>
      </c>
      <c r="J165" s="21">
        <v>143.9</v>
      </c>
      <c r="K165" s="21">
        <v>151.5</v>
      </c>
      <c r="L165" s="21">
        <v>138.1</v>
      </c>
      <c r="M165" s="21">
        <v>120</v>
      </c>
      <c r="N165" s="21">
        <v>133.9</v>
      </c>
      <c r="O165" s="21">
        <v>131.4</v>
      </c>
      <c r="P165" s="21">
        <v>147.69999999999999</v>
      </c>
      <c r="Q165" s="21">
        <v>138.5</v>
      </c>
      <c r="R165" s="21">
        <v>1772.9</v>
      </c>
      <c r="S165" s="21">
        <v>144.30000000000001</v>
      </c>
      <c r="T165" s="21">
        <v>138.1</v>
      </c>
      <c r="U165" s="21">
        <v>143.5</v>
      </c>
      <c r="V165" s="21">
        <v>425.9</v>
      </c>
      <c r="W165" s="21">
        <v>132.6</v>
      </c>
      <c r="X165" s="21">
        <v>136.1</v>
      </c>
      <c r="Y165" s="21">
        <v>268.7</v>
      </c>
      <c r="Z165" s="21">
        <v>132.1</v>
      </c>
      <c r="AA165" s="21">
        <v>124.4</v>
      </c>
      <c r="AB165" s="21">
        <f t="shared" si="5"/>
        <v>256.5</v>
      </c>
      <c r="AC165" s="21">
        <v>135.30000000000001</v>
      </c>
      <c r="AD165" s="21">
        <v>119.1</v>
      </c>
      <c r="AE165" s="21">
        <v>130.6</v>
      </c>
      <c r="AF165" s="21">
        <v>138.6</v>
      </c>
      <c r="AG165" s="21">
        <v>147.4</v>
      </c>
      <c r="AH165" s="21">
        <v>128.6</v>
      </c>
      <c r="AI165" s="21">
        <v>136.19999999999999</v>
      </c>
    </row>
    <row r="166" spans="1:35" x14ac:dyDescent="0.35">
      <c r="A166" s="21" t="s">
        <v>33</v>
      </c>
      <c r="B166" s="21">
        <v>2017</v>
      </c>
      <c r="C166" s="21" t="s">
        <v>40</v>
      </c>
      <c r="D166" s="17" t="str">
        <f t="shared" si="4"/>
        <v>July-2017</v>
      </c>
      <c r="E166" s="21">
        <v>132.80000000000001</v>
      </c>
      <c r="F166" s="21">
        <v>148.4</v>
      </c>
      <c r="G166" s="21">
        <v>129.4</v>
      </c>
      <c r="H166" s="21">
        <v>137.69999999999999</v>
      </c>
      <c r="I166" s="21">
        <v>113.4</v>
      </c>
      <c r="J166" s="21">
        <v>139.4</v>
      </c>
      <c r="K166" s="21">
        <v>175.1</v>
      </c>
      <c r="L166" s="21">
        <v>124.7</v>
      </c>
      <c r="M166" s="21">
        <v>121.5</v>
      </c>
      <c r="N166" s="21">
        <v>137.80000000000001</v>
      </c>
      <c r="O166" s="21">
        <v>124.4</v>
      </c>
      <c r="P166" s="21">
        <v>143.69999999999999</v>
      </c>
      <c r="Q166" s="21">
        <v>139.80000000000001</v>
      </c>
      <c r="R166" s="21">
        <v>1768.1</v>
      </c>
      <c r="S166" s="21">
        <v>131.6</v>
      </c>
      <c r="T166" s="21">
        <v>123.7</v>
      </c>
      <c r="U166" s="21">
        <v>130.4</v>
      </c>
      <c r="V166" s="21">
        <v>385.70000000000005</v>
      </c>
      <c r="W166" s="21">
        <v>132.6</v>
      </c>
      <c r="X166" s="21">
        <v>127.2</v>
      </c>
      <c r="Y166" s="21">
        <v>259.8</v>
      </c>
      <c r="Z166" s="21">
        <v>125</v>
      </c>
      <c r="AA166" s="21">
        <v>122.4</v>
      </c>
      <c r="AB166" s="21">
        <f t="shared" si="5"/>
        <v>247.4</v>
      </c>
      <c r="AC166" s="21">
        <v>119.7</v>
      </c>
      <c r="AD166" s="21">
        <v>113.2</v>
      </c>
      <c r="AE166" s="21">
        <v>123.5</v>
      </c>
      <c r="AF166" s="21">
        <v>135.5</v>
      </c>
      <c r="AG166" s="21">
        <v>150.5</v>
      </c>
      <c r="AH166" s="21">
        <v>123</v>
      </c>
      <c r="AI166" s="21">
        <v>131.80000000000001</v>
      </c>
    </row>
    <row r="167" spans="1:35" x14ac:dyDescent="0.35">
      <c r="A167" s="21" t="s">
        <v>34</v>
      </c>
      <c r="B167" s="21">
        <v>2017</v>
      </c>
      <c r="C167" s="21" t="s">
        <v>40</v>
      </c>
      <c r="D167" s="17" t="str">
        <f t="shared" si="4"/>
        <v>July-2017</v>
      </c>
      <c r="E167" s="21">
        <v>133.6</v>
      </c>
      <c r="F167" s="21">
        <v>145.69999999999999</v>
      </c>
      <c r="G167" s="21">
        <v>129.6</v>
      </c>
      <c r="H167" s="21">
        <v>138.5</v>
      </c>
      <c r="I167" s="21">
        <v>118.1</v>
      </c>
      <c r="J167" s="21">
        <v>141.80000000000001</v>
      </c>
      <c r="K167" s="21">
        <v>159.5</v>
      </c>
      <c r="L167" s="21">
        <v>133.6</v>
      </c>
      <c r="M167" s="21">
        <v>120.5</v>
      </c>
      <c r="N167" s="21">
        <v>135.19999999999999</v>
      </c>
      <c r="O167" s="21">
        <v>128.5</v>
      </c>
      <c r="P167" s="21">
        <v>145.80000000000001</v>
      </c>
      <c r="Q167" s="21">
        <v>139</v>
      </c>
      <c r="R167" s="21">
        <v>1769.3999999999999</v>
      </c>
      <c r="S167" s="21">
        <v>139.30000000000001</v>
      </c>
      <c r="T167" s="21">
        <v>132.1</v>
      </c>
      <c r="U167" s="21">
        <v>138.30000000000001</v>
      </c>
      <c r="V167" s="21">
        <v>409.7</v>
      </c>
      <c r="W167" s="21">
        <v>132.6</v>
      </c>
      <c r="X167" s="21">
        <v>131.9</v>
      </c>
      <c r="Y167" s="21">
        <v>264.5</v>
      </c>
      <c r="Z167" s="21">
        <v>129.4</v>
      </c>
      <c r="AA167" s="21">
        <v>123.6</v>
      </c>
      <c r="AB167" s="21">
        <f t="shared" si="5"/>
        <v>253</v>
      </c>
      <c r="AC167" s="21">
        <v>129.4</v>
      </c>
      <c r="AD167" s="21">
        <v>116</v>
      </c>
      <c r="AE167" s="21">
        <v>126.6</v>
      </c>
      <c r="AF167" s="21">
        <v>136.80000000000001</v>
      </c>
      <c r="AG167" s="21">
        <v>148.19999999999999</v>
      </c>
      <c r="AH167" s="21">
        <v>125.9</v>
      </c>
      <c r="AI167" s="21">
        <v>134.19999999999999</v>
      </c>
    </row>
    <row r="168" spans="1:35" x14ac:dyDescent="0.35">
      <c r="A168" s="21" t="s">
        <v>30</v>
      </c>
      <c r="B168" s="21">
        <v>2017</v>
      </c>
      <c r="C168" s="21" t="s">
        <v>41</v>
      </c>
      <c r="D168" s="17" t="str">
        <f t="shared" si="4"/>
        <v>August-2017</v>
      </c>
      <c r="E168" s="21">
        <v>134.80000000000001</v>
      </c>
      <c r="F168" s="21">
        <v>143.1</v>
      </c>
      <c r="G168" s="21">
        <v>130</v>
      </c>
      <c r="H168" s="21">
        <v>139.4</v>
      </c>
      <c r="I168" s="21">
        <v>120.5</v>
      </c>
      <c r="J168" s="21">
        <v>148</v>
      </c>
      <c r="K168" s="21">
        <v>162.9</v>
      </c>
      <c r="L168" s="21">
        <v>137.4</v>
      </c>
      <c r="M168" s="21">
        <v>120.8</v>
      </c>
      <c r="N168" s="21">
        <v>134.69999999999999</v>
      </c>
      <c r="O168" s="21">
        <v>131.6</v>
      </c>
      <c r="P168" s="21">
        <v>148.69999999999999</v>
      </c>
      <c r="Q168" s="21">
        <v>140.6</v>
      </c>
      <c r="R168" s="21">
        <v>1792.4999999999998</v>
      </c>
      <c r="S168" s="21">
        <v>145.30000000000001</v>
      </c>
      <c r="T168" s="21">
        <v>139.19999999999999</v>
      </c>
      <c r="U168" s="21">
        <v>144.5</v>
      </c>
      <c r="V168" s="21">
        <v>429</v>
      </c>
      <c r="W168" s="21">
        <v>134.4</v>
      </c>
      <c r="X168" s="21">
        <v>137.30000000000001</v>
      </c>
      <c r="Y168" s="21">
        <v>271.70000000000005</v>
      </c>
      <c r="Z168" s="21">
        <v>133</v>
      </c>
      <c r="AA168" s="21">
        <v>125.4</v>
      </c>
      <c r="AB168" s="21">
        <f t="shared" si="5"/>
        <v>258.39999999999998</v>
      </c>
      <c r="AC168" s="21">
        <v>136.4</v>
      </c>
      <c r="AD168" s="21">
        <v>120.3</v>
      </c>
      <c r="AE168" s="21">
        <v>131.5</v>
      </c>
      <c r="AF168" s="21">
        <v>140.19999999999999</v>
      </c>
      <c r="AG168" s="21">
        <v>149</v>
      </c>
      <c r="AH168" s="21">
        <v>129.69999999999999</v>
      </c>
      <c r="AI168" s="21">
        <v>137.80000000000001</v>
      </c>
    </row>
    <row r="169" spans="1:35" x14ac:dyDescent="0.35">
      <c r="A169" s="21" t="s">
        <v>33</v>
      </c>
      <c r="B169" s="21">
        <v>2017</v>
      </c>
      <c r="C169" s="21" t="s">
        <v>41</v>
      </c>
      <c r="D169" s="17" t="str">
        <f t="shared" si="4"/>
        <v>August-2017</v>
      </c>
      <c r="E169" s="21">
        <v>133.19999999999999</v>
      </c>
      <c r="F169" s="21">
        <v>143.9</v>
      </c>
      <c r="G169" s="21">
        <v>128.30000000000001</v>
      </c>
      <c r="H169" s="21">
        <v>138.30000000000001</v>
      </c>
      <c r="I169" s="21">
        <v>114.1</v>
      </c>
      <c r="J169" s="21">
        <v>142.69999999999999</v>
      </c>
      <c r="K169" s="21">
        <v>179.8</v>
      </c>
      <c r="L169" s="21">
        <v>123.5</v>
      </c>
      <c r="M169" s="21">
        <v>122.1</v>
      </c>
      <c r="N169" s="21">
        <v>137.5</v>
      </c>
      <c r="O169" s="21">
        <v>124.6</v>
      </c>
      <c r="P169" s="21">
        <v>144.5</v>
      </c>
      <c r="Q169" s="21">
        <v>140.5</v>
      </c>
      <c r="R169" s="21">
        <v>1772.9999999999998</v>
      </c>
      <c r="S169" s="21">
        <v>132.69999999999999</v>
      </c>
      <c r="T169" s="21">
        <v>124.3</v>
      </c>
      <c r="U169" s="21">
        <v>131.4</v>
      </c>
      <c r="V169" s="21">
        <v>388.4</v>
      </c>
      <c r="W169" s="21">
        <v>134.4</v>
      </c>
      <c r="X169" s="21">
        <v>127.7</v>
      </c>
      <c r="Y169" s="21">
        <v>262.10000000000002</v>
      </c>
      <c r="Z169" s="21">
        <v>125.7</v>
      </c>
      <c r="AA169" s="21">
        <v>123.3</v>
      </c>
      <c r="AB169" s="21">
        <f t="shared" si="5"/>
        <v>249</v>
      </c>
      <c r="AC169" s="21">
        <v>118.9</v>
      </c>
      <c r="AD169" s="21">
        <v>114.6</v>
      </c>
      <c r="AE169" s="21">
        <v>124.1</v>
      </c>
      <c r="AF169" s="21">
        <v>135.69999999999999</v>
      </c>
      <c r="AG169" s="21">
        <v>152.1</v>
      </c>
      <c r="AH169" s="21">
        <v>123.8</v>
      </c>
      <c r="AI169" s="21">
        <v>132.69999999999999</v>
      </c>
    </row>
    <row r="170" spans="1:35" x14ac:dyDescent="0.35">
      <c r="A170" s="21" t="s">
        <v>34</v>
      </c>
      <c r="B170" s="21">
        <v>2017</v>
      </c>
      <c r="C170" s="21" t="s">
        <v>41</v>
      </c>
      <c r="D170" s="17" t="str">
        <f t="shared" si="4"/>
        <v>August-2017</v>
      </c>
      <c r="E170" s="21">
        <v>134.30000000000001</v>
      </c>
      <c r="F170" s="21">
        <v>143.4</v>
      </c>
      <c r="G170" s="21">
        <v>129.30000000000001</v>
      </c>
      <c r="H170" s="21">
        <v>139</v>
      </c>
      <c r="I170" s="21">
        <v>118.1</v>
      </c>
      <c r="J170" s="21">
        <v>145.5</v>
      </c>
      <c r="K170" s="21">
        <v>168.6</v>
      </c>
      <c r="L170" s="21">
        <v>132.69999999999999</v>
      </c>
      <c r="M170" s="21">
        <v>121.2</v>
      </c>
      <c r="N170" s="21">
        <v>135.6</v>
      </c>
      <c r="O170" s="21">
        <v>128.69999999999999</v>
      </c>
      <c r="P170" s="21">
        <v>146.80000000000001</v>
      </c>
      <c r="Q170" s="21">
        <v>140.6</v>
      </c>
      <c r="R170" s="21">
        <v>1783.8</v>
      </c>
      <c r="S170" s="21">
        <v>140.30000000000001</v>
      </c>
      <c r="T170" s="21">
        <v>133</v>
      </c>
      <c r="U170" s="21">
        <v>139.30000000000001</v>
      </c>
      <c r="V170" s="21">
        <v>412.6</v>
      </c>
      <c r="W170" s="21">
        <v>134.4</v>
      </c>
      <c r="X170" s="21">
        <v>132.80000000000001</v>
      </c>
      <c r="Y170" s="21">
        <v>267.20000000000005</v>
      </c>
      <c r="Z170" s="21">
        <v>130.19999999999999</v>
      </c>
      <c r="AA170" s="21">
        <v>124.5</v>
      </c>
      <c r="AB170" s="21">
        <f t="shared" si="5"/>
        <v>254.7</v>
      </c>
      <c r="AC170" s="21">
        <v>129.80000000000001</v>
      </c>
      <c r="AD170" s="21">
        <v>117.3</v>
      </c>
      <c r="AE170" s="21">
        <v>127.3</v>
      </c>
      <c r="AF170" s="21">
        <v>137.6</v>
      </c>
      <c r="AG170" s="21">
        <v>149.80000000000001</v>
      </c>
      <c r="AH170" s="21">
        <v>126.8</v>
      </c>
      <c r="AI170" s="21">
        <v>135.4</v>
      </c>
    </row>
    <row r="171" spans="1:35" x14ac:dyDescent="0.35">
      <c r="A171" s="21" t="s">
        <v>30</v>
      </c>
      <c r="B171" s="21">
        <v>2017</v>
      </c>
      <c r="C171" s="21" t="s">
        <v>42</v>
      </c>
      <c r="D171" s="17" t="str">
        <f t="shared" si="4"/>
        <v>September-2017</v>
      </c>
      <c r="E171" s="21">
        <v>135.19999999999999</v>
      </c>
      <c r="F171" s="21">
        <v>142</v>
      </c>
      <c r="G171" s="21">
        <v>130.5</v>
      </c>
      <c r="H171" s="21">
        <v>140.19999999999999</v>
      </c>
      <c r="I171" s="21">
        <v>120.7</v>
      </c>
      <c r="J171" s="21">
        <v>147.80000000000001</v>
      </c>
      <c r="K171" s="21">
        <v>154.5</v>
      </c>
      <c r="L171" s="21">
        <v>137.1</v>
      </c>
      <c r="M171" s="21">
        <v>121</v>
      </c>
      <c r="N171" s="21">
        <v>134.69999999999999</v>
      </c>
      <c r="O171" s="21">
        <v>131.69999999999999</v>
      </c>
      <c r="P171" s="21">
        <v>149.30000000000001</v>
      </c>
      <c r="Q171" s="21">
        <v>139.6</v>
      </c>
      <c r="R171" s="21">
        <v>1784.3</v>
      </c>
      <c r="S171" s="21">
        <v>146.1</v>
      </c>
      <c r="T171" s="21">
        <v>139.69999999999999</v>
      </c>
      <c r="U171" s="21">
        <v>145.19999999999999</v>
      </c>
      <c r="V171" s="21">
        <v>430.99999999999994</v>
      </c>
      <c r="W171" s="21">
        <v>135.69999999999999</v>
      </c>
      <c r="X171" s="21">
        <v>137.9</v>
      </c>
      <c r="Y171" s="21">
        <v>273.60000000000002</v>
      </c>
      <c r="Z171" s="21">
        <v>133.4</v>
      </c>
      <c r="AA171" s="21">
        <v>126.7</v>
      </c>
      <c r="AB171" s="21">
        <f t="shared" si="5"/>
        <v>260.10000000000002</v>
      </c>
      <c r="AC171" s="21">
        <v>137.4</v>
      </c>
      <c r="AD171" s="21">
        <v>121.2</v>
      </c>
      <c r="AE171" s="21">
        <v>132.30000000000001</v>
      </c>
      <c r="AF171" s="21">
        <v>139.6</v>
      </c>
      <c r="AG171" s="21">
        <v>149.80000000000001</v>
      </c>
      <c r="AH171" s="21">
        <v>130.30000000000001</v>
      </c>
      <c r="AI171" s="21">
        <v>137.6</v>
      </c>
    </row>
    <row r="172" spans="1:35" x14ac:dyDescent="0.35">
      <c r="A172" s="21" t="s">
        <v>33</v>
      </c>
      <c r="B172" s="21">
        <v>2017</v>
      </c>
      <c r="C172" s="21" t="s">
        <v>42</v>
      </c>
      <c r="D172" s="17" t="str">
        <f t="shared" si="4"/>
        <v>September-2017</v>
      </c>
      <c r="E172" s="21">
        <v>133.6</v>
      </c>
      <c r="F172" s="21">
        <v>143</v>
      </c>
      <c r="G172" s="21">
        <v>129.69999999999999</v>
      </c>
      <c r="H172" s="21">
        <v>138.69999999999999</v>
      </c>
      <c r="I172" s="21">
        <v>114.5</v>
      </c>
      <c r="J172" s="21">
        <v>137.5</v>
      </c>
      <c r="K172" s="21">
        <v>160.69999999999999</v>
      </c>
      <c r="L172" s="21">
        <v>124.5</v>
      </c>
      <c r="M172" s="21">
        <v>122.4</v>
      </c>
      <c r="N172" s="21">
        <v>137.30000000000001</v>
      </c>
      <c r="O172" s="21">
        <v>124.8</v>
      </c>
      <c r="P172" s="21">
        <v>145</v>
      </c>
      <c r="Q172" s="21">
        <v>138</v>
      </c>
      <c r="R172" s="21">
        <v>1749.7</v>
      </c>
      <c r="S172" s="21">
        <v>133.30000000000001</v>
      </c>
      <c r="T172" s="21">
        <v>124.6</v>
      </c>
      <c r="U172" s="21">
        <v>132</v>
      </c>
      <c r="V172" s="21">
        <v>389.9</v>
      </c>
      <c r="W172" s="21">
        <v>135.69999999999999</v>
      </c>
      <c r="X172" s="21">
        <v>128.1</v>
      </c>
      <c r="Y172" s="21">
        <v>263.79999999999995</v>
      </c>
      <c r="Z172" s="21">
        <v>126.1</v>
      </c>
      <c r="AA172" s="21">
        <v>124.4</v>
      </c>
      <c r="AB172" s="21">
        <f t="shared" si="5"/>
        <v>250.5</v>
      </c>
      <c r="AC172" s="21">
        <v>120.6</v>
      </c>
      <c r="AD172" s="21">
        <v>115.7</v>
      </c>
      <c r="AE172" s="21">
        <v>124.5</v>
      </c>
      <c r="AF172" s="21">
        <v>135.9</v>
      </c>
      <c r="AG172" s="21">
        <v>153.6</v>
      </c>
      <c r="AH172" s="21">
        <v>124.5</v>
      </c>
      <c r="AI172" s="21">
        <v>132.4</v>
      </c>
    </row>
    <row r="173" spans="1:35" x14ac:dyDescent="0.35">
      <c r="A173" s="21" t="s">
        <v>34</v>
      </c>
      <c r="B173" s="21">
        <v>2017</v>
      </c>
      <c r="C173" s="21" t="s">
        <v>42</v>
      </c>
      <c r="D173" s="17" t="str">
        <f t="shared" si="4"/>
        <v>September-2017</v>
      </c>
      <c r="E173" s="21">
        <v>134.69999999999999</v>
      </c>
      <c r="F173" s="21">
        <v>142.4</v>
      </c>
      <c r="G173" s="21">
        <v>130.19999999999999</v>
      </c>
      <c r="H173" s="21">
        <v>139.6</v>
      </c>
      <c r="I173" s="21">
        <v>118.4</v>
      </c>
      <c r="J173" s="21">
        <v>143</v>
      </c>
      <c r="K173" s="21">
        <v>156.6</v>
      </c>
      <c r="L173" s="21">
        <v>132.9</v>
      </c>
      <c r="M173" s="21">
        <v>121.5</v>
      </c>
      <c r="N173" s="21">
        <v>135.6</v>
      </c>
      <c r="O173" s="21">
        <v>128.80000000000001</v>
      </c>
      <c r="P173" s="21">
        <v>147.30000000000001</v>
      </c>
      <c r="Q173" s="21">
        <v>139</v>
      </c>
      <c r="R173" s="21">
        <v>1769.9999999999998</v>
      </c>
      <c r="S173" s="21">
        <v>141.1</v>
      </c>
      <c r="T173" s="21">
        <v>133.4</v>
      </c>
      <c r="U173" s="21">
        <v>140</v>
      </c>
      <c r="V173" s="21">
        <v>414.5</v>
      </c>
      <c r="W173" s="21">
        <v>135.69999999999999</v>
      </c>
      <c r="X173" s="21">
        <v>133.30000000000001</v>
      </c>
      <c r="Y173" s="21">
        <v>269</v>
      </c>
      <c r="Z173" s="21">
        <v>130.6</v>
      </c>
      <c r="AA173" s="21">
        <v>125.7</v>
      </c>
      <c r="AB173" s="21">
        <f t="shared" si="5"/>
        <v>256.3</v>
      </c>
      <c r="AC173" s="21">
        <v>131</v>
      </c>
      <c r="AD173" s="21">
        <v>118.3</v>
      </c>
      <c r="AE173" s="21">
        <v>127.9</v>
      </c>
      <c r="AF173" s="21">
        <v>137.4</v>
      </c>
      <c r="AG173" s="21">
        <v>150.80000000000001</v>
      </c>
      <c r="AH173" s="21">
        <v>127.5</v>
      </c>
      <c r="AI173" s="21">
        <v>135.19999999999999</v>
      </c>
    </row>
    <row r="174" spans="1:35" x14ac:dyDescent="0.35">
      <c r="A174" s="21" t="s">
        <v>30</v>
      </c>
      <c r="B174" s="21">
        <v>2017</v>
      </c>
      <c r="C174" s="21" t="s">
        <v>43</v>
      </c>
      <c r="D174" s="17" t="str">
        <f t="shared" si="4"/>
        <v>October-2017</v>
      </c>
      <c r="E174" s="21">
        <v>135.9</v>
      </c>
      <c r="F174" s="21">
        <v>141.9</v>
      </c>
      <c r="G174" s="21">
        <v>131</v>
      </c>
      <c r="H174" s="21">
        <v>141.5</v>
      </c>
      <c r="I174" s="21">
        <v>121.4</v>
      </c>
      <c r="J174" s="21">
        <v>146.69999999999999</v>
      </c>
      <c r="K174" s="21">
        <v>157.1</v>
      </c>
      <c r="L174" s="21">
        <v>136.4</v>
      </c>
      <c r="M174" s="21">
        <v>121.4</v>
      </c>
      <c r="N174" s="21">
        <v>135.6</v>
      </c>
      <c r="O174" s="21">
        <v>131.30000000000001</v>
      </c>
      <c r="P174" s="21">
        <v>150.30000000000001</v>
      </c>
      <c r="Q174" s="21">
        <v>140.4</v>
      </c>
      <c r="R174" s="21">
        <v>1790.8999999999999</v>
      </c>
      <c r="S174" s="21">
        <v>147.19999999999999</v>
      </c>
      <c r="T174" s="21">
        <v>140.6</v>
      </c>
      <c r="U174" s="21">
        <v>146.19999999999999</v>
      </c>
      <c r="V174" s="21">
        <v>433.99999999999994</v>
      </c>
      <c r="W174" s="21">
        <v>137.30000000000001</v>
      </c>
      <c r="X174" s="21">
        <v>138.4</v>
      </c>
      <c r="Y174" s="21">
        <v>275.70000000000005</v>
      </c>
      <c r="Z174" s="21">
        <v>134.19999999999999</v>
      </c>
      <c r="AA174" s="21">
        <v>127.4</v>
      </c>
      <c r="AB174" s="21">
        <f t="shared" si="5"/>
        <v>261.60000000000002</v>
      </c>
      <c r="AC174" s="21">
        <v>138.1</v>
      </c>
      <c r="AD174" s="21">
        <v>121</v>
      </c>
      <c r="AE174" s="21">
        <v>133</v>
      </c>
      <c r="AF174" s="21">
        <v>140.1</v>
      </c>
      <c r="AG174" s="21">
        <v>150.5</v>
      </c>
      <c r="AH174" s="21">
        <v>130.69999999999999</v>
      </c>
      <c r="AI174" s="21">
        <v>138.30000000000001</v>
      </c>
    </row>
    <row r="175" spans="1:35" x14ac:dyDescent="0.35">
      <c r="A175" s="21" t="s">
        <v>33</v>
      </c>
      <c r="B175" s="21">
        <v>2017</v>
      </c>
      <c r="C175" s="21" t="s">
        <v>43</v>
      </c>
      <c r="D175" s="17" t="str">
        <f t="shared" si="4"/>
        <v>October-2017</v>
      </c>
      <c r="E175" s="21">
        <v>133.9</v>
      </c>
      <c r="F175" s="21">
        <v>142.80000000000001</v>
      </c>
      <c r="G175" s="21">
        <v>131.4</v>
      </c>
      <c r="H175" s="21">
        <v>139.1</v>
      </c>
      <c r="I175" s="21">
        <v>114.9</v>
      </c>
      <c r="J175" s="21">
        <v>135.6</v>
      </c>
      <c r="K175" s="21">
        <v>173.2</v>
      </c>
      <c r="L175" s="21">
        <v>124.1</v>
      </c>
      <c r="M175" s="21">
        <v>122.6</v>
      </c>
      <c r="N175" s="21">
        <v>137.80000000000001</v>
      </c>
      <c r="O175" s="21">
        <v>125.1</v>
      </c>
      <c r="P175" s="21">
        <v>145.5</v>
      </c>
      <c r="Q175" s="21">
        <v>139.69999999999999</v>
      </c>
      <c r="R175" s="21">
        <v>1765.6999999999998</v>
      </c>
      <c r="S175" s="21">
        <v>134</v>
      </c>
      <c r="T175" s="21">
        <v>124.9</v>
      </c>
      <c r="U175" s="21">
        <v>132.6</v>
      </c>
      <c r="V175" s="21">
        <v>391.5</v>
      </c>
      <c r="W175" s="21">
        <v>137.30000000000001</v>
      </c>
      <c r="X175" s="21">
        <v>128.30000000000001</v>
      </c>
      <c r="Y175" s="21">
        <v>265.60000000000002</v>
      </c>
      <c r="Z175" s="21">
        <v>126.6</v>
      </c>
      <c r="AA175" s="21">
        <v>124.6</v>
      </c>
      <c r="AB175" s="21">
        <f t="shared" si="5"/>
        <v>251.2</v>
      </c>
      <c r="AC175" s="21">
        <v>122.6</v>
      </c>
      <c r="AD175" s="21">
        <v>115</v>
      </c>
      <c r="AE175" s="21">
        <v>124.8</v>
      </c>
      <c r="AF175" s="21">
        <v>136.30000000000001</v>
      </c>
      <c r="AG175" s="21">
        <v>154.6</v>
      </c>
      <c r="AH175" s="21">
        <v>124.5</v>
      </c>
      <c r="AI175" s="21">
        <v>133.5</v>
      </c>
    </row>
    <row r="176" spans="1:35" x14ac:dyDescent="0.35">
      <c r="A176" s="21" t="s">
        <v>34</v>
      </c>
      <c r="B176" s="21">
        <v>2017</v>
      </c>
      <c r="C176" s="21" t="s">
        <v>43</v>
      </c>
      <c r="D176" s="17" t="str">
        <f t="shared" si="4"/>
        <v>October-2017</v>
      </c>
      <c r="E176" s="21">
        <v>135.30000000000001</v>
      </c>
      <c r="F176" s="21">
        <v>142.19999999999999</v>
      </c>
      <c r="G176" s="21">
        <v>131.19999999999999</v>
      </c>
      <c r="H176" s="21">
        <v>140.6</v>
      </c>
      <c r="I176" s="21">
        <v>119</v>
      </c>
      <c r="J176" s="21">
        <v>141.5</v>
      </c>
      <c r="K176" s="21">
        <v>162.6</v>
      </c>
      <c r="L176" s="21">
        <v>132.30000000000001</v>
      </c>
      <c r="M176" s="21">
        <v>121.8</v>
      </c>
      <c r="N176" s="21">
        <v>136.30000000000001</v>
      </c>
      <c r="O176" s="21">
        <v>128.69999999999999</v>
      </c>
      <c r="P176" s="21">
        <v>148.1</v>
      </c>
      <c r="Q176" s="21">
        <v>140.1</v>
      </c>
      <c r="R176" s="21">
        <v>1779.6999999999998</v>
      </c>
      <c r="S176" s="21">
        <v>142</v>
      </c>
      <c r="T176" s="21">
        <v>134.1</v>
      </c>
      <c r="U176" s="21">
        <v>140.80000000000001</v>
      </c>
      <c r="V176" s="21">
        <v>416.90000000000003</v>
      </c>
      <c r="W176" s="21">
        <v>137.30000000000001</v>
      </c>
      <c r="X176" s="21">
        <v>133.6</v>
      </c>
      <c r="Y176" s="21">
        <v>270.89999999999998</v>
      </c>
      <c r="Z176" s="21">
        <v>131.30000000000001</v>
      </c>
      <c r="AA176" s="21">
        <v>126.2</v>
      </c>
      <c r="AB176" s="21">
        <f t="shared" si="5"/>
        <v>257.5</v>
      </c>
      <c r="AC176" s="21">
        <v>132.19999999999999</v>
      </c>
      <c r="AD176" s="21">
        <v>117.8</v>
      </c>
      <c r="AE176" s="21">
        <v>128.4</v>
      </c>
      <c r="AF176" s="21">
        <v>137.9</v>
      </c>
      <c r="AG176" s="21">
        <v>151.6</v>
      </c>
      <c r="AH176" s="21">
        <v>127.7</v>
      </c>
      <c r="AI176" s="21">
        <v>136.1</v>
      </c>
    </row>
    <row r="177" spans="1:35" x14ac:dyDescent="0.35">
      <c r="A177" s="21" t="s">
        <v>30</v>
      </c>
      <c r="B177" s="21">
        <v>2017</v>
      </c>
      <c r="C177" s="21" t="s">
        <v>45</v>
      </c>
      <c r="D177" s="17" t="str">
        <f t="shared" si="4"/>
        <v>November-2017</v>
      </c>
      <c r="E177" s="21">
        <v>136.30000000000001</v>
      </c>
      <c r="F177" s="21">
        <v>142.5</v>
      </c>
      <c r="G177" s="21">
        <v>140.5</v>
      </c>
      <c r="H177" s="21">
        <v>141.5</v>
      </c>
      <c r="I177" s="21">
        <v>121.6</v>
      </c>
      <c r="J177" s="21">
        <v>147.30000000000001</v>
      </c>
      <c r="K177" s="21">
        <v>168</v>
      </c>
      <c r="L177" s="21">
        <v>135.80000000000001</v>
      </c>
      <c r="M177" s="21">
        <v>122.5</v>
      </c>
      <c r="N177" s="21">
        <v>136</v>
      </c>
      <c r="O177" s="21">
        <v>131.9</v>
      </c>
      <c r="P177" s="21">
        <v>151.4</v>
      </c>
      <c r="Q177" s="21">
        <v>142.4</v>
      </c>
      <c r="R177" s="21">
        <v>1817.7000000000003</v>
      </c>
      <c r="S177" s="21">
        <v>148.19999999999999</v>
      </c>
      <c r="T177" s="21">
        <v>141.5</v>
      </c>
      <c r="U177" s="21">
        <v>147.30000000000001</v>
      </c>
      <c r="V177" s="21">
        <v>437</v>
      </c>
      <c r="W177" s="21">
        <v>138.6</v>
      </c>
      <c r="X177" s="21">
        <v>139.4</v>
      </c>
      <c r="Y177" s="21">
        <v>278</v>
      </c>
      <c r="Z177" s="21">
        <v>135.80000000000001</v>
      </c>
      <c r="AA177" s="21">
        <v>128.1</v>
      </c>
      <c r="AB177" s="21">
        <f t="shared" si="5"/>
        <v>263.89999999999998</v>
      </c>
      <c r="AC177" s="21">
        <v>141.1</v>
      </c>
      <c r="AD177" s="21">
        <v>121.6</v>
      </c>
      <c r="AE177" s="21">
        <v>133.69999999999999</v>
      </c>
      <c r="AF177" s="21">
        <v>141.5</v>
      </c>
      <c r="AG177" s="21">
        <v>152.1</v>
      </c>
      <c r="AH177" s="21">
        <v>131.69999999999999</v>
      </c>
      <c r="AI177" s="21">
        <v>140</v>
      </c>
    </row>
    <row r="178" spans="1:35" x14ac:dyDescent="0.35">
      <c r="A178" s="21" t="s">
        <v>33</v>
      </c>
      <c r="B178" s="21">
        <v>2017</v>
      </c>
      <c r="C178" s="21" t="s">
        <v>45</v>
      </c>
      <c r="D178" s="17" t="str">
        <f t="shared" si="4"/>
        <v>November-2017</v>
      </c>
      <c r="E178" s="21">
        <v>134.30000000000001</v>
      </c>
      <c r="F178" s="21">
        <v>142.1</v>
      </c>
      <c r="G178" s="21">
        <v>146.69999999999999</v>
      </c>
      <c r="H178" s="21">
        <v>139.5</v>
      </c>
      <c r="I178" s="21">
        <v>115.2</v>
      </c>
      <c r="J178" s="21">
        <v>136.4</v>
      </c>
      <c r="K178" s="21">
        <v>185.2</v>
      </c>
      <c r="L178" s="21">
        <v>122.2</v>
      </c>
      <c r="M178" s="21">
        <v>123.9</v>
      </c>
      <c r="N178" s="21">
        <v>138.30000000000001</v>
      </c>
      <c r="O178" s="21">
        <v>125.4</v>
      </c>
      <c r="P178" s="21">
        <v>146</v>
      </c>
      <c r="Q178" s="21">
        <v>141.5</v>
      </c>
      <c r="R178" s="21">
        <v>1796.7</v>
      </c>
      <c r="S178" s="21">
        <v>135</v>
      </c>
      <c r="T178" s="21">
        <v>125.4</v>
      </c>
      <c r="U178" s="21">
        <v>133.5</v>
      </c>
      <c r="V178" s="21">
        <v>393.9</v>
      </c>
      <c r="W178" s="21">
        <v>138.6</v>
      </c>
      <c r="X178" s="21">
        <v>128.80000000000001</v>
      </c>
      <c r="Y178" s="21">
        <v>267.39999999999998</v>
      </c>
      <c r="Z178" s="21">
        <v>127.4</v>
      </c>
      <c r="AA178" s="21">
        <v>124.9</v>
      </c>
      <c r="AB178" s="21">
        <f t="shared" si="5"/>
        <v>252.3</v>
      </c>
      <c r="AC178" s="21">
        <v>125.7</v>
      </c>
      <c r="AD178" s="21">
        <v>115.3</v>
      </c>
      <c r="AE178" s="21">
        <v>125.1</v>
      </c>
      <c r="AF178" s="21">
        <v>136.6</v>
      </c>
      <c r="AG178" s="21">
        <v>156.19999999999999</v>
      </c>
      <c r="AH178" s="21">
        <v>124.9</v>
      </c>
      <c r="AI178" s="21">
        <v>134.80000000000001</v>
      </c>
    </row>
    <row r="179" spans="1:35" x14ac:dyDescent="0.35">
      <c r="A179" s="21" t="s">
        <v>34</v>
      </c>
      <c r="B179" s="21">
        <v>2017</v>
      </c>
      <c r="C179" s="21" t="s">
        <v>45</v>
      </c>
      <c r="D179" s="17" t="str">
        <f t="shared" si="4"/>
        <v>November-2017</v>
      </c>
      <c r="E179" s="21">
        <v>135.69999999999999</v>
      </c>
      <c r="F179" s="21">
        <v>142.4</v>
      </c>
      <c r="G179" s="21">
        <v>142.9</v>
      </c>
      <c r="H179" s="21">
        <v>140.80000000000001</v>
      </c>
      <c r="I179" s="21">
        <v>119.2</v>
      </c>
      <c r="J179" s="21">
        <v>142.19999999999999</v>
      </c>
      <c r="K179" s="21">
        <v>173.8</v>
      </c>
      <c r="L179" s="21">
        <v>131.19999999999999</v>
      </c>
      <c r="M179" s="21">
        <v>123</v>
      </c>
      <c r="N179" s="21">
        <v>136.80000000000001</v>
      </c>
      <c r="O179" s="21">
        <v>129.19999999999999</v>
      </c>
      <c r="P179" s="21">
        <v>148.9</v>
      </c>
      <c r="Q179" s="21">
        <v>142.1</v>
      </c>
      <c r="R179" s="21">
        <v>1808.2</v>
      </c>
      <c r="S179" s="21">
        <v>143</v>
      </c>
      <c r="T179" s="21">
        <v>134.80000000000001</v>
      </c>
      <c r="U179" s="21">
        <v>141.80000000000001</v>
      </c>
      <c r="V179" s="21">
        <v>419.6</v>
      </c>
      <c r="W179" s="21">
        <v>138.6</v>
      </c>
      <c r="X179" s="21">
        <v>134.4</v>
      </c>
      <c r="Y179" s="21">
        <v>273</v>
      </c>
      <c r="Z179" s="21">
        <v>132.6</v>
      </c>
      <c r="AA179" s="21">
        <v>126.8</v>
      </c>
      <c r="AB179" s="21">
        <f t="shared" si="5"/>
        <v>259.39999999999998</v>
      </c>
      <c r="AC179" s="21">
        <v>135.30000000000001</v>
      </c>
      <c r="AD179" s="21">
        <v>118.3</v>
      </c>
      <c r="AE179" s="21">
        <v>128.9</v>
      </c>
      <c r="AF179" s="21">
        <v>138.6</v>
      </c>
      <c r="AG179" s="21">
        <v>153.19999999999999</v>
      </c>
      <c r="AH179" s="21">
        <v>128.4</v>
      </c>
      <c r="AI179" s="21">
        <v>137.6</v>
      </c>
    </row>
    <row r="180" spans="1:35" x14ac:dyDescent="0.35">
      <c r="A180" s="21" t="s">
        <v>30</v>
      </c>
      <c r="B180" s="21">
        <v>2017</v>
      </c>
      <c r="C180" s="21" t="s">
        <v>46</v>
      </c>
      <c r="D180" s="17" t="str">
        <f t="shared" si="4"/>
        <v>December-2017</v>
      </c>
      <c r="E180" s="21">
        <v>136.4</v>
      </c>
      <c r="F180" s="21">
        <v>143.69999999999999</v>
      </c>
      <c r="G180" s="21">
        <v>144.80000000000001</v>
      </c>
      <c r="H180" s="21">
        <v>141.9</v>
      </c>
      <c r="I180" s="21">
        <v>123.1</v>
      </c>
      <c r="J180" s="21">
        <v>147.19999999999999</v>
      </c>
      <c r="K180" s="21">
        <v>161</v>
      </c>
      <c r="L180" s="21">
        <v>133.80000000000001</v>
      </c>
      <c r="M180" s="21">
        <v>121.9</v>
      </c>
      <c r="N180" s="21">
        <v>135.80000000000001</v>
      </c>
      <c r="O180" s="21">
        <v>131.1</v>
      </c>
      <c r="P180" s="21">
        <v>151.4</v>
      </c>
      <c r="Q180" s="21">
        <v>141.5</v>
      </c>
      <c r="R180" s="21">
        <v>1813.6000000000001</v>
      </c>
      <c r="S180" s="21">
        <v>148</v>
      </c>
      <c r="T180" s="21">
        <v>141.9</v>
      </c>
      <c r="U180" s="21">
        <v>147.19999999999999</v>
      </c>
      <c r="V180" s="21">
        <v>437.09999999999997</v>
      </c>
      <c r="W180" s="21">
        <v>139.1</v>
      </c>
      <c r="X180" s="21">
        <v>139.5</v>
      </c>
      <c r="Y180" s="21">
        <v>278.60000000000002</v>
      </c>
      <c r="Z180" s="21">
        <v>136.1</v>
      </c>
      <c r="AA180" s="21">
        <v>127.8</v>
      </c>
      <c r="AB180" s="21">
        <f t="shared" si="5"/>
        <v>263.89999999999998</v>
      </c>
      <c r="AC180" s="21">
        <v>142.6</v>
      </c>
      <c r="AD180" s="21">
        <v>122</v>
      </c>
      <c r="AE180" s="21">
        <v>133.4</v>
      </c>
      <c r="AF180" s="21">
        <v>141.1</v>
      </c>
      <c r="AG180" s="21">
        <v>153.19999999999999</v>
      </c>
      <c r="AH180" s="21">
        <v>131.9</v>
      </c>
      <c r="AI180" s="21">
        <v>139.80000000000001</v>
      </c>
    </row>
    <row r="181" spans="1:35" x14ac:dyDescent="0.35">
      <c r="A181" s="21" t="s">
        <v>33</v>
      </c>
      <c r="B181" s="21">
        <v>2017</v>
      </c>
      <c r="C181" s="21" t="s">
        <v>46</v>
      </c>
      <c r="D181" s="17" t="str">
        <f t="shared" si="4"/>
        <v>December-2017</v>
      </c>
      <c r="E181" s="21">
        <v>134.4</v>
      </c>
      <c r="F181" s="21">
        <v>142.6</v>
      </c>
      <c r="G181" s="21">
        <v>145.9</v>
      </c>
      <c r="H181" s="21">
        <v>139.5</v>
      </c>
      <c r="I181" s="21">
        <v>115.9</v>
      </c>
      <c r="J181" s="21">
        <v>135</v>
      </c>
      <c r="K181" s="21">
        <v>163.19999999999999</v>
      </c>
      <c r="L181" s="21">
        <v>119.8</v>
      </c>
      <c r="M181" s="21">
        <v>120.7</v>
      </c>
      <c r="N181" s="21">
        <v>139.69999999999999</v>
      </c>
      <c r="O181" s="21">
        <v>125.7</v>
      </c>
      <c r="P181" s="21">
        <v>146.30000000000001</v>
      </c>
      <c r="Q181" s="21">
        <v>138.80000000000001</v>
      </c>
      <c r="R181" s="21">
        <v>1767.5</v>
      </c>
      <c r="S181" s="21">
        <v>135.6</v>
      </c>
      <c r="T181" s="21">
        <v>125.6</v>
      </c>
      <c r="U181" s="21">
        <v>134</v>
      </c>
      <c r="V181" s="21">
        <v>395.2</v>
      </c>
      <c r="W181" s="21">
        <v>139.1</v>
      </c>
      <c r="X181" s="21">
        <v>129.30000000000001</v>
      </c>
      <c r="Y181" s="21">
        <v>268.39999999999998</v>
      </c>
      <c r="Z181" s="21">
        <v>128.19999999999999</v>
      </c>
      <c r="AA181" s="21">
        <v>124.6</v>
      </c>
      <c r="AB181" s="21">
        <f t="shared" si="5"/>
        <v>252.79999999999998</v>
      </c>
      <c r="AC181" s="21">
        <v>126.8</v>
      </c>
      <c r="AD181" s="21">
        <v>115.3</v>
      </c>
      <c r="AE181" s="21">
        <v>125.6</v>
      </c>
      <c r="AF181" s="21">
        <v>136.69999999999999</v>
      </c>
      <c r="AG181" s="21">
        <v>157</v>
      </c>
      <c r="AH181" s="21">
        <v>125.1</v>
      </c>
      <c r="AI181" s="21">
        <v>134.1</v>
      </c>
    </row>
    <row r="182" spans="1:35" x14ac:dyDescent="0.35">
      <c r="A182" s="21" t="s">
        <v>34</v>
      </c>
      <c r="B182" s="21">
        <v>2017</v>
      </c>
      <c r="C182" s="21" t="s">
        <v>46</v>
      </c>
      <c r="D182" s="17" t="str">
        <f t="shared" si="4"/>
        <v>December-2017</v>
      </c>
      <c r="E182" s="21">
        <v>135.80000000000001</v>
      </c>
      <c r="F182" s="21">
        <v>143.30000000000001</v>
      </c>
      <c r="G182" s="21">
        <v>145.19999999999999</v>
      </c>
      <c r="H182" s="21">
        <v>141</v>
      </c>
      <c r="I182" s="21">
        <v>120.5</v>
      </c>
      <c r="J182" s="21">
        <v>141.5</v>
      </c>
      <c r="K182" s="21">
        <v>161.69999999999999</v>
      </c>
      <c r="L182" s="21">
        <v>129.1</v>
      </c>
      <c r="M182" s="21">
        <v>121.5</v>
      </c>
      <c r="N182" s="21">
        <v>137.1</v>
      </c>
      <c r="O182" s="21">
        <v>128.80000000000001</v>
      </c>
      <c r="P182" s="21">
        <v>149</v>
      </c>
      <c r="Q182" s="21">
        <v>140.5</v>
      </c>
      <c r="R182" s="21">
        <v>1794.9999999999998</v>
      </c>
      <c r="S182" s="21">
        <v>143.1</v>
      </c>
      <c r="T182" s="21">
        <v>135.1</v>
      </c>
      <c r="U182" s="21">
        <v>142</v>
      </c>
      <c r="V182" s="21">
        <v>420.2</v>
      </c>
      <c r="W182" s="21">
        <v>139.1</v>
      </c>
      <c r="X182" s="21">
        <v>134.69999999999999</v>
      </c>
      <c r="Y182" s="21">
        <v>273.79999999999995</v>
      </c>
      <c r="Z182" s="21">
        <v>133.1</v>
      </c>
      <c r="AA182" s="21">
        <v>126.5</v>
      </c>
      <c r="AB182" s="21">
        <f t="shared" si="5"/>
        <v>259.60000000000002</v>
      </c>
      <c r="AC182" s="21">
        <v>136.6</v>
      </c>
      <c r="AD182" s="21">
        <v>118.5</v>
      </c>
      <c r="AE182" s="21">
        <v>129</v>
      </c>
      <c r="AF182" s="21">
        <v>138.5</v>
      </c>
      <c r="AG182" s="21">
        <v>154.19999999999999</v>
      </c>
      <c r="AH182" s="21">
        <v>128.6</v>
      </c>
      <c r="AI182" s="21">
        <v>137.19999999999999</v>
      </c>
    </row>
    <row r="183" spans="1:35" x14ac:dyDescent="0.35">
      <c r="A183" s="21" t="s">
        <v>30</v>
      </c>
      <c r="B183" s="21">
        <v>2018</v>
      </c>
      <c r="C183" s="21" t="s">
        <v>31</v>
      </c>
      <c r="D183" s="17" t="str">
        <f t="shared" si="4"/>
        <v>January-2018</v>
      </c>
      <c r="E183" s="21">
        <v>136.6</v>
      </c>
      <c r="F183" s="21">
        <v>144.4</v>
      </c>
      <c r="G183" s="21">
        <v>143.80000000000001</v>
      </c>
      <c r="H183" s="21">
        <v>142</v>
      </c>
      <c r="I183" s="21">
        <v>123.2</v>
      </c>
      <c r="J183" s="21">
        <v>147.9</v>
      </c>
      <c r="K183" s="21">
        <v>152.1</v>
      </c>
      <c r="L183" s="21">
        <v>131.80000000000001</v>
      </c>
      <c r="M183" s="21">
        <v>119.5</v>
      </c>
      <c r="N183" s="21">
        <v>136</v>
      </c>
      <c r="O183" s="21">
        <v>131.19999999999999</v>
      </c>
      <c r="P183" s="21">
        <v>151.80000000000001</v>
      </c>
      <c r="Q183" s="21">
        <v>140.4</v>
      </c>
      <c r="R183" s="21">
        <v>1800.7</v>
      </c>
      <c r="S183" s="21">
        <v>148.30000000000001</v>
      </c>
      <c r="T183" s="21">
        <v>142.30000000000001</v>
      </c>
      <c r="U183" s="21">
        <v>147.5</v>
      </c>
      <c r="V183" s="21">
        <v>438.1</v>
      </c>
      <c r="W183" s="21">
        <v>140.4</v>
      </c>
      <c r="X183" s="21">
        <v>139.80000000000001</v>
      </c>
      <c r="Y183" s="21">
        <v>280.20000000000005</v>
      </c>
      <c r="Z183" s="21">
        <v>136</v>
      </c>
      <c r="AA183" s="21">
        <v>128.6</v>
      </c>
      <c r="AB183" s="21">
        <f t="shared" si="5"/>
        <v>264.60000000000002</v>
      </c>
      <c r="AC183" s="21">
        <v>142.30000000000001</v>
      </c>
      <c r="AD183" s="21">
        <v>122.7</v>
      </c>
      <c r="AE183" s="21">
        <v>134.30000000000001</v>
      </c>
      <c r="AF183" s="21">
        <v>141.6</v>
      </c>
      <c r="AG183" s="21">
        <v>153.6</v>
      </c>
      <c r="AH183" s="21">
        <v>132.30000000000001</v>
      </c>
      <c r="AI183" s="21">
        <v>139.30000000000001</v>
      </c>
    </row>
    <row r="184" spans="1:35" x14ac:dyDescent="0.35">
      <c r="A184" s="21" t="s">
        <v>33</v>
      </c>
      <c r="B184" s="21">
        <v>2018</v>
      </c>
      <c r="C184" s="21" t="s">
        <v>31</v>
      </c>
      <c r="D184" s="17" t="str">
        <f t="shared" si="4"/>
        <v>January-2018</v>
      </c>
      <c r="E184" s="21">
        <v>134.6</v>
      </c>
      <c r="F184" s="21">
        <v>143.69999999999999</v>
      </c>
      <c r="G184" s="21">
        <v>143.6</v>
      </c>
      <c r="H184" s="21">
        <v>139.6</v>
      </c>
      <c r="I184" s="21">
        <v>116.4</v>
      </c>
      <c r="J184" s="21">
        <v>133.80000000000001</v>
      </c>
      <c r="K184" s="21">
        <v>150.5</v>
      </c>
      <c r="L184" s="21">
        <v>118.4</v>
      </c>
      <c r="M184" s="21">
        <v>117.3</v>
      </c>
      <c r="N184" s="21">
        <v>140.5</v>
      </c>
      <c r="O184" s="21">
        <v>125.9</v>
      </c>
      <c r="P184" s="21">
        <v>146.80000000000001</v>
      </c>
      <c r="Q184" s="21">
        <v>137.19999999999999</v>
      </c>
      <c r="R184" s="21">
        <v>1748.3000000000002</v>
      </c>
      <c r="S184" s="21">
        <v>136</v>
      </c>
      <c r="T184" s="21">
        <v>125.9</v>
      </c>
      <c r="U184" s="21">
        <v>134.4</v>
      </c>
      <c r="V184" s="21">
        <v>396.29999999999995</v>
      </c>
      <c r="W184" s="21">
        <v>140.4</v>
      </c>
      <c r="X184" s="21">
        <v>129.5</v>
      </c>
      <c r="Y184" s="21">
        <v>269.89999999999998</v>
      </c>
      <c r="Z184" s="21">
        <v>129</v>
      </c>
      <c r="AA184" s="21">
        <v>125.5</v>
      </c>
      <c r="AB184" s="21">
        <f t="shared" si="5"/>
        <v>254.5</v>
      </c>
      <c r="AC184" s="21">
        <v>127.3</v>
      </c>
      <c r="AD184" s="21">
        <v>116.3</v>
      </c>
      <c r="AE184" s="21">
        <v>126.2</v>
      </c>
      <c r="AF184" s="21">
        <v>137.1</v>
      </c>
      <c r="AG184" s="21">
        <v>157.69999999999999</v>
      </c>
      <c r="AH184" s="21">
        <v>125.8</v>
      </c>
      <c r="AI184" s="21">
        <v>134.1</v>
      </c>
    </row>
    <row r="185" spans="1:35" x14ac:dyDescent="0.35">
      <c r="A185" s="21" t="s">
        <v>34</v>
      </c>
      <c r="B185" s="21">
        <v>2018</v>
      </c>
      <c r="C185" s="21" t="s">
        <v>31</v>
      </c>
      <c r="D185" s="17" t="str">
        <f t="shared" si="4"/>
        <v>January-2018</v>
      </c>
      <c r="E185" s="21">
        <v>136</v>
      </c>
      <c r="F185" s="21">
        <v>144.19999999999999</v>
      </c>
      <c r="G185" s="21">
        <v>143.69999999999999</v>
      </c>
      <c r="H185" s="21">
        <v>141.1</v>
      </c>
      <c r="I185" s="21">
        <v>120.7</v>
      </c>
      <c r="J185" s="21">
        <v>141.30000000000001</v>
      </c>
      <c r="K185" s="21">
        <v>151.6</v>
      </c>
      <c r="L185" s="21">
        <v>127.3</v>
      </c>
      <c r="M185" s="21">
        <v>118.8</v>
      </c>
      <c r="N185" s="21">
        <v>137.5</v>
      </c>
      <c r="O185" s="21">
        <v>129</v>
      </c>
      <c r="P185" s="21">
        <v>149.5</v>
      </c>
      <c r="Q185" s="21">
        <v>139.19999999999999</v>
      </c>
      <c r="R185" s="21">
        <v>1779.9</v>
      </c>
      <c r="S185" s="21">
        <v>143.5</v>
      </c>
      <c r="T185" s="21">
        <v>135.5</v>
      </c>
      <c r="U185" s="21">
        <v>142.30000000000001</v>
      </c>
      <c r="V185" s="21">
        <v>421.3</v>
      </c>
      <c r="W185" s="21">
        <v>140.4</v>
      </c>
      <c r="X185" s="21">
        <v>134.9</v>
      </c>
      <c r="Y185" s="21">
        <v>275.3</v>
      </c>
      <c r="Z185" s="21">
        <v>133.30000000000001</v>
      </c>
      <c r="AA185" s="21">
        <v>127.3</v>
      </c>
      <c r="AB185" s="21">
        <f t="shared" si="5"/>
        <v>260.60000000000002</v>
      </c>
      <c r="AC185" s="21">
        <v>136.6</v>
      </c>
      <c r="AD185" s="21">
        <v>119.3</v>
      </c>
      <c r="AE185" s="21">
        <v>129.69999999999999</v>
      </c>
      <c r="AF185" s="21">
        <v>139</v>
      </c>
      <c r="AG185" s="21">
        <v>154.69999999999999</v>
      </c>
      <c r="AH185" s="21">
        <v>129.1</v>
      </c>
      <c r="AI185" s="21">
        <v>136.9</v>
      </c>
    </row>
    <row r="186" spans="1:35" x14ac:dyDescent="0.35">
      <c r="A186" s="21" t="s">
        <v>30</v>
      </c>
      <c r="B186" s="21">
        <v>2018</v>
      </c>
      <c r="C186" s="21" t="s">
        <v>35</v>
      </c>
      <c r="D186" s="17" t="str">
        <f t="shared" si="4"/>
        <v>February-2018</v>
      </c>
      <c r="E186" s="21">
        <v>136.4</v>
      </c>
      <c r="F186" s="21">
        <v>143.69999999999999</v>
      </c>
      <c r="G186" s="21">
        <v>140.6</v>
      </c>
      <c r="H186" s="21">
        <v>141.5</v>
      </c>
      <c r="I186" s="21">
        <v>122.9</v>
      </c>
      <c r="J186" s="21">
        <v>149.4</v>
      </c>
      <c r="K186" s="21">
        <v>142.4</v>
      </c>
      <c r="L186" s="21">
        <v>130.19999999999999</v>
      </c>
      <c r="M186" s="21">
        <v>117.9</v>
      </c>
      <c r="N186" s="21">
        <v>135.6</v>
      </c>
      <c r="O186" s="21">
        <v>130.5</v>
      </c>
      <c r="P186" s="21">
        <v>151.69999999999999</v>
      </c>
      <c r="Q186" s="21">
        <v>138.69999999999999</v>
      </c>
      <c r="R186" s="21">
        <v>1781.5</v>
      </c>
      <c r="S186" s="21">
        <v>148.69999999999999</v>
      </c>
      <c r="T186" s="21">
        <v>142.4</v>
      </c>
      <c r="U186" s="21">
        <v>147.80000000000001</v>
      </c>
      <c r="V186" s="21">
        <v>438.90000000000003</v>
      </c>
      <c r="W186" s="21">
        <v>141.30000000000001</v>
      </c>
      <c r="X186" s="21">
        <v>139.9</v>
      </c>
      <c r="Y186" s="21">
        <v>281.20000000000005</v>
      </c>
      <c r="Z186" s="21">
        <v>136.19999999999999</v>
      </c>
      <c r="AA186" s="21">
        <v>128.80000000000001</v>
      </c>
      <c r="AB186" s="21">
        <f t="shared" si="5"/>
        <v>265</v>
      </c>
      <c r="AC186" s="21">
        <v>142.4</v>
      </c>
      <c r="AD186" s="21">
        <v>123.3</v>
      </c>
      <c r="AE186" s="21">
        <v>134.30000000000001</v>
      </c>
      <c r="AF186" s="21">
        <v>141.5</v>
      </c>
      <c r="AG186" s="21">
        <v>153.30000000000001</v>
      </c>
      <c r="AH186" s="21">
        <v>132.5</v>
      </c>
      <c r="AI186" s="21">
        <v>138.5</v>
      </c>
    </row>
    <row r="187" spans="1:35" x14ac:dyDescent="0.35">
      <c r="A187" s="21" t="s">
        <v>33</v>
      </c>
      <c r="B187" s="21">
        <v>2018</v>
      </c>
      <c r="C187" s="21" t="s">
        <v>35</v>
      </c>
      <c r="D187" s="17" t="str">
        <f t="shared" si="4"/>
        <v>February-2018</v>
      </c>
      <c r="E187" s="21">
        <v>134.80000000000001</v>
      </c>
      <c r="F187" s="21">
        <v>143</v>
      </c>
      <c r="G187" s="21">
        <v>139.9</v>
      </c>
      <c r="H187" s="21">
        <v>139.9</v>
      </c>
      <c r="I187" s="21">
        <v>116.2</v>
      </c>
      <c r="J187" s="21">
        <v>135.5</v>
      </c>
      <c r="K187" s="21">
        <v>136.9</v>
      </c>
      <c r="L187" s="21">
        <v>117</v>
      </c>
      <c r="M187" s="21">
        <v>115.4</v>
      </c>
      <c r="N187" s="21">
        <v>140.69999999999999</v>
      </c>
      <c r="O187" s="21">
        <v>125.9</v>
      </c>
      <c r="P187" s="21">
        <v>147.1</v>
      </c>
      <c r="Q187" s="21">
        <v>135.6</v>
      </c>
      <c r="R187" s="21">
        <v>1727.9</v>
      </c>
      <c r="S187" s="21">
        <v>136.30000000000001</v>
      </c>
      <c r="T187" s="21">
        <v>126.1</v>
      </c>
      <c r="U187" s="21">
        <v>134.69999999999999</v>
      </c>
      <c r="V187" s="21">
        <v>397.09999999999997</v>
      </c>
      <c r="W187" s="21">
        <v>141.30000000000001</v>
      </c>
      <c r="X187" s="21">
        <v>129.9</v>
      </c>
      <c r="Y187" s="21">
        <v>271.20000000000005</v>
      </c>
      <c r="Z187" s="21">
        <v>129.80000000000001</v>
      </c>
      <c r="AA187" s="21">
        <v>126.2</v>
      </c>
      <c r="AB187" s="21">
        <f t="shared" si="5"/>
        <v>256</v>
      </c>
      <c r="AC187" s="21">
        <v>127.3</v>
      </c>
      <c r="AD187" s="21">
        <v>117.4</v>
      </c>
      <c r="AE187" s="21">
        <v>126.5</v>
      </c>
      <c r="AF187" s="21">
        <v>137.19999999999999</v>
      </c>
      <c r="AG187" s="21">
        <v>159.30000000000001</v>
      </c>
      <c r="AH187" s="21">
        <v>126.5</v>
      </c>
      <c r="AI187" s="21">
        <v>134</v>
      </c>
    </row>
    <row r="188" spans="1:35" x14ac:dyDescent="0.35">
      <c r="A188" s="21" t="s">
        <v>34</v>
      </c>
      <c r="B188" s="21">
        <v>2018</v>
      </c>
      <c r="C188" s="21" t="s">
        <v>35</v>
      </c>
      <c r="D188" s="17" t="str">
        <f t="shared" si="4"/>
        <v>February-2018</v>
      </c>
      <c r="E188" s="21">
        <v>135.9</v>
      </c>
      <c r="F188" s="21">
        <v>143.5</v>
      </c>
      <c r="G188" s="21">
        <v>140.30000000000001</v>
      </c>
      <c r="H188" s="21">
        <v>140.9</v>
      </c>
      <c r="I188" s="21">
        <v>120.4</v>
      </c>
      <c r="J188" s="21">
        <v>142.9</v>
      </c>
      <c r="K188" s="21">
        <v>140.5</v>
      </c>
      <c r="L188" s="21">
        <v>125.8</v>
      </c>
      <c r="M188" s="21">
        <v>117.1</v>
      </c>
      <c r="N188" s="21">
        <v>137.30000000000001</v>
      </c>
      <c r="O188" s="21">
        <v>128.6</v>
      </c>
      <c r="P188" s="21">
        <v>149.6</v>
      </c>
      <c r="Q188" s="21">
        <v>137.6</v>
      </c>
      <c r="R188" s="21">
        <v>1760.3999999999996</v>
      </c>
      <c r="S188" s="21">
        <v>143.80000000000001</v>
      </c>
      <c r="T188" s="21">
        <v>135.6</v>
      </c>
      <c r="U188" s="21">
        <v>142.6</v>
      </c>
      <c r="V188" s="21">
        <v>422</v>
      </c>
      <c r="W188" s="21">
        <v>141.30000000000001</v>
      </c>
      <c r="X188" s="21">
        <v>135.19999999999999</v>
      </c>
      <c r="Y188" s="21">
        <v>276.5</v>
      </c>
      <c r="Z188" s="21">
        <v>133.80000000000001</v>
      </c>
      <c r="AA188" s="21">
        <v>127.7</v>
      </c>
      <c r="AB188" s="21">
        <f t="shared" si="5"/>
        <v>261.5</v>
      </c>
      <c r="AC188" s="21">
        <v>136.69999999999999</v>
      </c>
      <c r="AD188" s="21">
        <v>120.2</v>
      </c>
      <c r="AE188" s="21">
        <v>129.9</v>
      </c>
      <c r="AF188" s="21">
        <v>139</v>
      </c>
      <c r="AG188" s="21">
        <v>154.9</v>
      </c>
      <c r="AH188" s="21">
        <v>129.6</v>
      </c>
      <c r="AI188" s="21">
        <v>136.4</v>
      </c>
    </row>
    <row r="189" spans="1:35" x14ac:dyDescent="0.35">
      <c r="A189" s="21" t="s">
        <v>30</v>
      </c>
      <c r="B189" s="21">
        <v>2018</v>
      </c>
      <c r="C189" s="21" t="s">
        <v>36</v>
      </c>
      <c r="D189" s="17" t="str">
        <f t="shared" si="4"/>
        <v>March-2018</v>
      </c>
      <c r="E189" s="21">
        <v>136.80000000000001</v>
      </c>
      <c r="F189" s="21">
        <v>143.80000000000001</v>
      </c>
      <c r="G189" s="21">
        <v>140</v>
      </c>
      <c r="H189" s="21">
        <v>142</v>
      </c>
      <c r="I189" s="21">
        <v>123.2</v>
      </c>
      <c r="J189" s="21">
        <v>152.9</v>
      </c>
      <c r="K189" s="21">
        <v>138</v>
      </c>
      <c r="L189" s="21">
        <v>129.30000000000001</v>
      </c>
      <c r="M189" s="21">
        <v>117.1</v>
      </c>
      <c r="N189" s="21">
        <v>136.30000000000001</v>
      </c>
      <c r="O189" s="21">
        <v>131.19999999999999</v>
      </c>
      <c r="P189" s="21">
        <v>152.80000000000001</v>
      </c>
      <c r="Q189" s="21">
        <v>138.6</v>
      </c>
      <c r="R189" s="21">
        <v>1781.9999999999998</v>
      </c>
      <c r="S189" s="21">
        <v>149.19999999999999</v>
      </c>
      <c r="T189" s="21">
        <v>143</v>
      </c>
      <c r="U189" s="21">
        <v>148.30000000000001</v>
      </c>
      <c r="V189" s="21">
        <v>440.5</v>
      </c>
      <c r="W189" s="21">
        <v>142</v>
      </c>
      <c r="X189" s="21">
        <v>139.9</v>
      </c>
      <c r="Y189" s="21">
        <v>281.89999999999998</v>
      </c>
      <c r="Z189" s="21">
        <v>136.69999999999999</v>
      </c>
      <c r="AA189" s="21">
        <v>129.30000000000001</v>
      </c>
      <c r="AB189" s="21">
        <f t="shared" si="5"/>
        <v>266</v>
      </c>
      <c r="AC189" s="21">
        <v>142.6</v>
      </c>
      <c r="AD189" s="21">
        <v>124.6</v>
      </c>
      <c r="AE189" s="21">
        <v>135.1</v>
      </c>
      <c r="AF189" s="21">
        <v>142.69999999999999</v>
      </c>
      <c r="AG189" s="21">
        <v>155.1</v>
      </c>
      <c r="AH189" s="21">
        <v>133.30000000000001</v>
      </c>
      <c r="AI189" s="21">
        <v>138.69999999999999</v>
      </c>
    </row>
    <row r="190" spans="1:35" x14ac:dyDescent="0.35">
      <c r="A190" s="21" t="s">
        <v>33</v>
      </c>
      <c r="B190" s="21">
        <v>2018</v>
      </c>
      <c r="C190" s="21" t="s">
        <v>36</v>
      </c>
      <c r="D190" s="17" t="str">
        <f t="shared" si="4"/>
        <v>March-2018</v>
      </c>
      <c r="E190" s="21">
        <v>135</v>
      </c>
      <c r="F190" s="21">
        <v>143.1</v>
      </c>
      <c r="G190" s="21">
        <v>135.5</v>
      </c>
      <c r="H190" s="21">
        <v>139.9</v>
      </c>
      <c r="I190" s="21">
        <v>116.5</v>
      </c>
      <c r="J190" s="21">
        <v>138.5</v>
      </c>
      <c r="K190" s="21">
        <v>128</v>
      </c>
      <c r="L190" s="21">
        <v>115.5</v>
      </c>
      <c r="M190" s="21">
        <v>114.2</v>
      </c>
      <c r="N190" s="21">
        <v>140.69999999999999</v>
      </c>
      <c r="O190" s="21">
        <v>126.2</v>
      </c>
      <c r="P190" s="21">
        <v>147.6</v>
      </c>
      <c r="Q190" s="21">
        <v>134.80000000000001</v>
      </c>
      <c r="R190" s="21">
        <v>1715.5</v>
      </c>
      <c r="S190" s="21">
        <v>136.69999999999999</v>
      </c>
      <c r="T190" s="21">
        <v>126.7</v>
      </c>
      <c r="U190" s="21">
        <v>135.19999999999999</v>
      </c>
      <c r="V190" s="21">
        <v>398.59999999999997</v>
      </c>
      <c r="W190" s="21">
        <v>142</v>
      </c>
      <c r="X190" s="21">
        <v>130.80000000000001</v>
      </c>
      <c r="Y190" s="21">
        <v>272.8</v>
      </c>
      <c r="Z190" s="21">
        <v>130.5</v>
      </c>
      <c r="AA190" s="21">
        <v>126.7</v>
      </c>
      <c r="AB190" s="21">
        <f t="shared" si="5"/>
        <v>257.2</v>
      </c>
      <c r="AC190" s="21">
        <v>126.4</v>
      </c>
      <c r="AD190" s="21">
        <v>117.8</v>
      </c>
      <c r="AE190" s="21">
        <v>126.8</v>
      </c>
      <c r="AF190" s="21">
        <v>137.80000000000001</v>
      </c>
      <c r="AG190" s="21">
        <v>159.69999999999999</v>
      </c>
      <c r="AH190" s="21">
        <v>127.1</v>
      </c>
      <c r="AI190" s="21">
        <v>134</v>
      </c>
    </row>
    <row r="191" spans="1:35" x14ac:dyDescent="0.35">
      <c r="A191" s="21" t="s">
        <v>34</v>
      </c>
      <c r="B191" s="21">
        <v>2018</v>
      </c>
      <c r="C191" s="21" t="s">
        <v>36</v>
      </c>
      <c r="D191" s="17" t="str">
        <f t="shared" si="4"/>
        <v>March-2018</v>
      </c>
      <c r="E191" s="21">
        <v>136.19999999999999</v>
      </c>
      <c r="F191" s="21">
        <v>143.6</v>
      </c>
      <c r="G191" s="21">
        <v>138.30000000000001</v>
      </c>
      <c r="H191" s="21">
        <v>141.19999999999999</v>
      </c>
      <c r="I191" s="21">
        <v>120.7</v>
      </c>
      <c r="J191" s="21">
        <v>146.19999999999999</v>
      </c>
      <c r="K191" s="21">
        <v>134.6</v>
      </c>
      <c r="L191" s="21">
        <v>124.6</v>
      </c>
      <c r="M191" s="21">
        <v>116.1</v>
      </c>
      <c r="N191" s="21">
        <v>137.80000000000001</v>
      </c>
      <c r="O191" s="21">
        <v>129.1</v>
      </c>
      <c r="P191" s="21">
        <v>150.4</v>
      </c>
      <c r="Q191" s="21">
        <v>137.19999999999999</v>
      </c>
      <c r="R191" s="21">
        <v>1756</v>
      </c>
      <c r="S191" s="21">
        <v>144.30000000000001</v>
      </c>
      <c r="T191" s="21">
        <v>136.19999999999999</v>
      </c>
      <c r="U191" s="21">
        <v>143.1</v>
      </c>
      <c r="V191" s="21">
        <v>423.6</v>
      </c>
      <c r="W191" s="21">
        <v>142</v>
      </c>
      <c r="X191" s="21">
        <v>135.6</v>
      </c>
      <c r="Y191" s="21">
        <v>277.60000000000002</v>
      </c>
      <c r="Z191" s="21">
        <v>134.30000000000001</v>
      </c>
      <c r="AA191" s="21">
        <v>128.19999999999999</v>
      </c>
      <c r="AB191" s="21">
        <f t="shared" si="5"/>
        <v>262.5</v>
      </c>
      <c r="AC191" s="21">
        <v>136.5</v>
      </c>
      <c r="AD191" s="21">
        <v>121</v>
      </c>
      <c r="AE191" s="21">
        <v>130.4</v>
      </c>
      <c r="AF191" s="21">
        <v>139.80000000000001</v>
      </c>
      <c r="AG191" s="21">
        <v>156.30000000000001</v>
      </c>
      <c r="AH191" s="21">
        <v>130.30000000000001</v>
      </c>
      <c r="AI191" s="21">
        <v>136.5</v>
      </c>
    </row>
    <row r="192" spans="1:35" x14ac:dyDescent="0.35">
      <c r="A192" s="21" t="s">
        <v>30</v>
      </c>
      <c r="B192" s="21">
        <v>2018</v>
      </c>
      <c r="C192" s="21" t="s">
        <v>37</v>
      </c>
      <c r="D192" s="17" t="str">
        <f t="shared" si="4"/>
        <v>April-2018</v>
      </c>
      <c r="E192" s="21">
        <v>137.1</v>
      </c>
      <c r="F192" s="21">
        <v>144.5</v>
      </c>
      <c r="G192" s="21">
        <v>135.9</v>
      </c>
      <c r="H192" s="21">
        <v>142.4</v>
      </c>
      <c r="I192" s="21">
        <v>123.5</v>
      </c>
      <c r="J192" s="21">
        <v>156.4</v>
      </c>
      <c r="K192" s="21">
        <v>135.1</v>
      </c>
      <c r="L192" s="21">
        <v>128.4</v>
      </c>
      <c r="M192" s="21">
        <v>115.2</v>
      </c>
      <c r="N192" s="21">
        <v>137.19999999999999</v>
      </c>
      <c r="O192" s="21">
        <v>131.9</v>
      </c>
      <c r="P192" s="21">
        <v>153.80000000000001</v>
      </c>
      <c r="Q192" s="21">
        <v>138.6</v>
      </c>
      <c r="R192" s="21">
        <v>1780</v>
      </c>
      <c r="S192" s="21">
        <v>150.1</v>
      </c>
      <c r="T192" s="21">
        <v>143.30000000000001</v>
      </c>
      <c r="U192" s="21">
        <v>149.1</v>
      </c>
      <c r="V192" s="21">
        <v>442.5</v>
      </c>
      <c r="W192" s="21">
        <v>142.9</v>
      </c>
      <c r="X192" s="21">
        <v>140.9</v>
      </c>
      <c r="Y192" s="21">
        <v>283.8</v>
      </c>
      <c r="Z192" s="21">
        <v>137.6</v>
      </c>
      <c r="AA192" s="21">
        <v>130.4</v>
      </c>
      <c r="AB192" s="21">
        <f t="shared" si="5"/>
        <v>268</v>
      </c>
      <c r="AC192" s="21">
        <v>143.80000000000001</v>
      </c>
      <c r="AD192" s="21">
        <v>125.3</v>
      </c>
      <c r="AE192" s="21">
        <v>136</v>
      </c>
      <c r="AF192" s="21">
        <v>143.69999999999999</v>
      </c>
      <c r="AG192" s="21">
        <v>156.1</v>
      </c>
      <c r="AH192" s="21">
        <v>134.19999999999999</v>
      </c>
      <c r="AI192" s="21">
        <v>139.1</v>
      </c>
    </row>
    <row r="193" spans="1:35" x14ac:dyDescent="0.35">
      <c r="A193" s="21" t="s">
        <v>33</v>
      </c>
      <c r="B193" s="21">
        <v>2018</v>
      </c>
      <c r="C193" s="21" t="s">
        <v>37</v>
      </c>
      <c r="D193" s="17" t="str">
        <f t="shared" si="4"/>
        <v>April-2018</v>
      </c>
      <c r="E193" s="21">
        <v>135</v>
      </c>
      <c r="F193" s="21">
        <v>144.30000000000001</v>
      </c>
      <c r="G193" s="21">
        <v>130.80000000000001</v>
      </c>
      <c r="H193" s="21">
        <v>140.30000000000001</v>
      </c>
      <c r="I193" s="21">
        <v>116.6</v>
      </c>
      <c r="J193" s="21">
        <v>150.1</v>
      </c>
      <c r="K193" s="21">
        <v>127.6</v>
      </c>
      <c r="L193" s="21">
        <v>114</v>
      </c>
      <c r="M193" s="21">
        <v>110.6</v>
      </c>
      <c r="N193" s="21">
        <v>140.19999999999999</v>
      </c>
      <c r="O193" s="21">
        <v>126.5</v>
      </c>
      <c r="P193" s="21">
        <v>148.30000000000001</v>
      </c>
      <c r="Q193" s="21">
        <v>135.69999999999999</v>
      </c>
      <c r="R193" s="21">
        <v>1720.0000000000002</v>
      </c>
      <c r="S193" s="21">
        <v>137.80000000000001</v>
      </c>
      <c r="T193" s="21">
        <v>127.4</v>
      </c>
      <c r="U193" s="21">
        <v>136.19999999999999</v>
      </c>
      <c r="V193" s="21">
        <v>401.40000000000003</v>
      </c>
      <c r="W193" s="21">
        <v>142.9</v>
      </c>
      <c r="X193" s="21">
        <v>131.80000000000001</v>
      </c>
      <c r="Y193" s="21">
        <v>274.70000000000005</v>
      </c>
      <c r="Z193" s="21">
        <v>131.30000000000001</v>
      </c>
      <c r="AA193" s="21">
        <v>127.6</v>
      </c>
      <c r="AB193" s="21">
        <f t="shared" si="5"/>
        <v>258.89999999999998</v>
      </c>
      <c r="AC193" s="21">
        <v>124.6</v>
      </c>
      <c r="AD193" s="21">
        <v>118.9</v>
      </c>
      <c r="AE193" s="21">
        <v>127.6</v>
      </c>
      <c r="AF193" s="21">
        <v>139.69999999999999</v>
      </c>
      <c r="AG193" s="21">
        <v>159.19999999999999</v>
      </c>
      <c r="AH193" s="21">
        <v>128.19999999999999</v>
      </c>
      <c r="AI193" s="21">
        <v>134.80000000000001</v>
      </c>
    </row>
    <row r="194" spans="1:35" x14ac:dyDescent="0.35">
      <c r="A194" s="21" t="s">
        <v>34</v>
      </c>
      <c r="B194" s="21">
        <v>2018</v>
      </c>
      <c r="C194" s="21" t="s">
        <v>37</v>
      </c>
      <c r="D194" s="17" t="str">
        <f t="shared" si="4"/>
        <v>April-2018</v>
      </c>
      <c r="E194" s="21">
        <v>136.4</v>
      </c>
      <c r="F194" s="21">
        <v>144.4</v>
      </c>
      <c r="G194" s="21">
        <v>133.9</v>
      </c>
      <c r="H194" s="21">
        <v>141.6</v>
      </c>
      <c r="I194" s="21">
        <v>121</v>
      </c>
      <c r="J194" s="21">
        <v>153.5</v>
      </c>
      <c r="K194" s="21">
        <v>132.6</v>
      </c>
      <c r="L194" s="21">
        <v>123.5</v>
      </c>
      <c r="M194" s="21">
        <v>113.7</v>
      </c>
      <c r="N194" s="21">
        <v>138.19999999999999</v>
      </c>
      <c r="O194" s="21">
        <v>129.6</v>
      </c>
      <c r="P194" s="21">
        <v>151.19999999999999</v>
      </c>
      <c r="Q194" s="21">
        <v>137.5</v>
      </c>
      <c r="R194" s="21">
        <v>1757.1000000000001</v>
      </c>
      <c r="S194" s="21">
        <v>145.30000000000001</v>
      </c>
      <c r="T194" s="21">
        <v>136.69999999999999</v>
      </c>
      <c r="U194" s="21">
        <v>144</v>
      </c>
      <c r="V194" s="21">
        <v>426</v>
      </c>
      <c r="W194" s="21">
        <v>142.9</v>
      </c>
      <c r="X194" s="21">
        <v>136.6</v>
      </c>
      <c r="Y194" s="21">
        <v>279.5</v>
      </c>
      <c r="Z194" s="21">
        <v>135.19999999999999</v>
      </c>
      <c r="AA194" s="21">
        <v>129.19999999999999</v>
      </c>
      <c r="AB194" s="21">
        <f t="shared" si="5"/>
        <v>264.39999999999998</v>
      </c>
      <c r="AC194" s="21">
        <v>136.5</v>
      </c>
      <c r="AD194" s="21">
        <v>121.9</v>
      </c>
      <c r="AE194" s="21">
        <v>131.30000000000001</v>
      </c>
      <c r="AF194" s="21">
        <v>141.4</v>
      </c>
      <c r="AG194" s="21">
        <v>156.9</v>
      </c>
      <c r="AH194" s="21">
        <v>131.30000000000001</v>
      </c>
      <c r="AI194" s="21">
        <v>137.1</v>
      </c>
    </row>
    <row r="195" spans="1:35" x14ac:dyDescent="0.35">
      <c r="A195" s="21" t="s">
        <v>30</v>
      </c>
      <c r="B195" s="21">
        <v>2018</v>
      </c>
      <c r="C195" s="21" t="s">
        <v>38</v>
      </c>
      <c r="D195" s="17" t="str">
        <f t="shared" si="4"/>
        <v>May-2018</v>
      </c>
      <c r="E195" s="21">
        <v>137.4</v>
      </c>
      <c r="F195" s="21">
        <v>145.69999999999999</v>
      </c>
      <c r="G195" s="21">
        <v>135.5</v>
      </c>
      <c r="H195" s="21">
        <v>142.9</v>
      </c>
      <c r="I195" s="21">
        <v>123.6</v>
      </c>
      <c r="J195" s="21">
        <v>157.5</v>
      </c>
      <c r="K195" s="21">
        <v>137.80000000000001</v>
      </c>
      <c r="L195" s="21">
        <v>127.2</v>
      </c>
      <c r="M195" s="21">
        <v>111.8</v>
      </c>
      <c r="N195" s="21">
        <v>137.4</v>
      </c>
      <c r="O195" s="21">
        <v>132.19999999999999</v>
      </c>
      <c r="P195" s="21">
        <v>154.30000000000001</v>
      </c>
      <c r="Q195" s="21">
        <v>139.1</v>
      </c>
      <c r="R195" s="21">
        <v>1782.4</v>
      </c>
      <c r="S195" s="21">
        <v>150.80000000000001</v>
      </c>
      <c r="T195" s="21">
        <v>144.1</v>
      </c>
      <c r="U195" s="21">
        <v>149.80000000000001</v>
      </c>
      <c r="V195" s="21">
        <v>444.7</v>
      </c>
      <c r="W195" s="21">
        <v>143.19999999999999</v>
      </c>
      <c r="X195" s="21">
        <v>141.80000000000001</v>
      </c>
      <c r="Y195" s="21">
        <v>285</v>
      </c>
      <c r="Z195" s="21">
        <v>138.4</v>
      </c>
      <c r="AA195" s="21">
        <v>131.19999999999999</v>
      </c>
      <c r="AB195" s="21">
        <f t="shared" si="5"/>
        <v>269.60000000000002</v>
      </c>
      <c r="AC195" s="21">
        <v>144.30000000000001</v>
      </c>
      <c r="AD195" s="21">
        <v>126.4</v>
      </c>
      <c r="AE195" s="21">
        <v>136.80000000000001</v>
      </c>
      <c r="AF195" s="21">
        <v>144.4</v>
      </c>
      <c r="AG195" s="21">
        <v>157</v>
      </c>
      <c r="AH195" s="21">
        <v>135.1</v>
      </c>
      <c r="AI195" s="21">
        <v>139.80000000000001</v>
      </c>
    </row>
    <row r="196" spans="1:35" x14ac:dyDescent="0.35">
      <c r="A196" s="21" t="s">
        <v>33</v>
      </c>
      <c r="B196" s="21">
        <v>2018</v>
      </c>
      <c r="C196" s="21" t="s">
        <v>38</v>
      </c>
      <c r="D196" s="17" t="str">
        <f t="shared" ref="D196:D259" si="6">CONCATENATE(C196,"-",B196)</f>
        <v>May-2018</v>
      </c>
      <c r="E196" s="21">
        <v>135</v>
      </c>
      <c r="F196" s="21">
        <v>148.19999999999999</v>
      </c>
      <c r="G196" s="21">
        <v>130.5</v>
      </c>
      <c r="H196" s="21">
        <v>140.69999999999999</v>
      </c>
      <c r="I196" s="21">
        <v>116.4</v>
      </c>
      <c r="J196" s="21">
        <v>151.30000000000001</v>
      </c>
      <c r="K196" s="21">
        <v>131.4</v>
      </c>
      <c r="L196" s="21">
        <v>112.8</v>
      </c>
      <c r="M196" s="21">
        <v>105.3</v>
      </c>
      <c r="N196" s="21">
        <v>139.6</v>
      </c>
      <c r="O196" s="21">
        <v>126.6</v>
      </c>
      <c r="P196" s="21">
        <v>148.69999999999999</v>
      </c>
      <c r="Q196" s="21">
        <v>136.4</v>
      </c>
      <c r="R196" s="21">
        <v>1722.8999999999999</v>
      </c>
      <c r="S196" s="21">
        <v>138.6</v>
      </c>
      <c r="T196" s="21">
        <v>127.9</v>
      </c>
      <c r="U196" s="21">
        <v>137</v>
      </c>
      <c r="V196" s="21">
        <v>403.5</v>
      </c>
      <c r="W196" s="21">
        <v>143.19999999999999</v>
      </c>
      <c r="X196" s="21">
        <v>132.5</v>
      </c>
      <c r="Y196" s="21">
        <v>275.7</v>
      </c>
      <c r="Z196" s="21">
        <v>132</v>
      </c>
      <c r="AA196" s="21">
        <v>128.1</v>
      </c>
      <c r="AB196" s="21">
        <f t="shared" ref="AB196:AB259" si="7">SUM(Z196:AA196)</f>
        <v>260.10000000000002</v>
      </c>
      <c r="AC196" s="21">
        <v>124.7</v>
      </c>
      <c r="AD196" s="21">
        <v>119.8</v>
      </c>
      <c r="AE196" s="21">
        <v>128</v>
      </c>
      <c r="AF196" s="21">
        <v>140.4</v>
      </c>
      <c r="AG196" s="21">
        <v>160.30000000000001</v>
      </c>
      <c r="AH196" s="21">
        <v>128.9</v>
      </c>
      <c r="AI196" s="21">
        <v>135.4</v>
      </c>
    </row>
    <row r="197" spans="1:35" x14ac:dyDescent="0.35">
      <c r="A197" s="21" t="s">
        <v>34</v>
      </c>
      <c r="B197" s="21">
        <v>2018</v>
      </c>
      <c r="C197" s="21" t="s">
        <v>38</v>
      </c>
      <c r="D197" s="17" t="str">
        <f t="shared" si="6"/>
        <v>May-2018</v>
      </c>
      <c r="E197" s="21">
        <v>136.6</v>
      </c>
      <c r="F197" s="21">
        <v>146.6</v>
      </c>
      <c r="G197" s="21">
        <v>133.6</v>
      </c>
      <c r="H197" s="21">
        <v>142.1</v>
      </c>
      <c r="I197" s="21">
        <v>121</v>
      </c>
      <c r="J197" s="21">
        <v>154.6</v>
      </c>
      <c r="K197" s="21">
        <v>135.6</v>
      </c>
      <c r="L197" s="21">
        <v>122.3</v>
      </c>
      <c r="M197" s="21">
        <v>109.6</v>
      </c>
      <c r="N197" s="21">
        <v>138.1</v>
      </c>
      <c r="O197" s="21">
        <v>129.9</v>
      </c>
      <c r="P197" s="21">
        <v>151.69999999999999</v>
      </c>
      <c r="Q197" s="21">
        <v>138.1</v>
      </c>
      <c r="R197" s="21">
        <v>1759.8</v>
      </c>
      <c r="S197" s="21">
        <v>146</v>
      </c>
      <c r="T197" s="21">
        <v>137.4</v>
      </c>
      <c r="U197" s="21">
        <v>144.69999999999999</v>
      </c>
      <c r="V197" s="21">
        <v>428.09999999999997</v>
      </c>
      <c r="W197" s="21">
        <v>143.19999999999999</v>
      </c>
      <c r="X197" s="21">
        <v>137.4</v>
      </c>
      <c r="Y197" s="21">
        <v>280.60000000000002</v>
      </c>
      <c r="Z197" s="21">
        <v>136</v>
      </c>
      <c r="AA197" s="21">
        <v>129.9</v>
      </c>
      <c r="AB197" s="21">
        <f t="shared" si="7"/>
        <v>265.89999999999998</v>
      </c>
      <c r="AC197" s="21">
        <v>136.9</v>
      </c>
      <c r="AD197" s="21">
        <v>122.9</v>
      </c>
      <c r="AE197" s="21">
        <v>131.80000000000001</v>
      </c>
      <c r="AF197" s="21">
        <v>142.1</v>
      </c>
      <c r="AG197" s="21">
        <v>157.9</v>
      </c>
      <c r="AH197" s="21">
        <v>132.1</v>
      </c>
      <c r="AI197" s="21">
        <v>137.80000000000001</v>
      </c>
    </row>
    <row r="198" spans="1:35" x14ac:dyDescent="0.35">
      <c r="A198" s="21" t="s">
        <v>30</v>
      </c>
      <c r="B198" s="21">
        <v>2018</v>
      </c>
      <c r="C198" s="21" t="s">
        <v>39</v>
      </c>
      <c r="D198" s="17" t="str">
        <f t="shared" si="6"/>
        <v>June-2018</v>
      </c>
      <c r="E198" s="21">
        <v>137.6</v>
      </c>
      <c r="F198" s="21">
        <v>148.1</v>
      </c>
      <c r="G198" s="21">
        <v>136.69999999999999</v>
      </c>
      <c r="H198" s="21">
        <v>143.19999999999999</v>
      </c>
      <c r="I198" s="21">
        <v>124</v>
      </c>
      <c r="J198" s="21">
        <v>154.1</v>
      </c>
      <c r="K198" s="21">
        <v>143.5</v>
      </c>
      <c r="L198" s="21">
        <v>126</v>
      </c>
      <c r="M198" s="21">
        <v>112.4</v>
      </c>
      <c r="N198" s="21">
        <v>137.6</v>
      </c>
      <c r="O198" s="21">
        <v>132.80000000000001</v>
      </c>
      <c r="P198" s="21">
        <v>154.30000000000001</v>
      </c>
      <c r="Q198" s="21">
        <v>140</v>
      </c>
      <c r="R198" s="21">
        <v>1790.2999999999997</v>
      </c>
      <c r="S198" s="21">
        <v>151.30000000000001</v>
      </c>
      <c r="T198" s="21">
        <v>144.69999999999999</v>
      </c>
      <c r="U198" s="21">
        <v>150.30000000000001</v>
      </c>
      <c r="V198" s="21">
        <v>446.3</v>
      </c>
      <c r="W198" s="21">
        <v>142.5</v>
      </c>
      <c r="X198" s="21">
        <v>142.19999999999999</v>
      </c>
      <c r="Y198" s="21">
        <v>284.7</v>
      </c>
      <c r="Z198" s="21">
        <v>138.4</v>
      </c>
      <c r="AA198" s="21">
        <v>131.4</v>
      </c>
      <c r="AB198" s="21">
        <f t="shared" si="7"/>
        <v>269.8</v>
      </c>
      <c r="AC198" s="21">
        <v>145.1</v>
      </c>
      <c r="AD198" s="21">
        <v>127.4</v>
      </c>
      <c r="AE198" s="21">
        <v>137.80000000000001</v>
      </c>
      <c r="AF198" s="21">
        <v>145.1</v>
      </c>
      <c r="AG198" s="21">
        <v>157.30000000000001</v>
      </c>
      <c r="AH198" s="21">
        <v>135.6</v>
      </c>
      <c r="AI198" s="21">
        <v>140.5</v>
      </c>
    </row>
    <row r="199" spans="1:35" x14ac:dyDescent="0.35">
      <c r="A199" s="21" t="s">
        <v>33</v>
      </c>
      <c r="B199" s="21">
        <v>2018</v>
      </c>
      <c r="C199" s="21" t="s">
        <v>39</v>
      </c>
      <c r="D199" s="17" t="str">
        <f t="shared" si="6"/>
        <v>June-2018</v>
      </c>
      <c r="E199" s="21">
        <v>135.30000000000001</v>
      </c>
      <c r="F199" s="21">
        <v>149.69999999999999</v>
      </c>
      <c r="G199" s="21">
        <v>133.9</v>
      </c>
      <c r="H199" s="21">
        <v>140.80000000000001</v>
      </c>
      <c r="I199" s="21">
        <v>116.6</v>
      </c>
      <c r="J199" s="21">
        <v>152.19999999999999</v>
      </c>
      <c r="K199" s="21">
        <v>144</v>
      </c>
      <c r="L199" s="21">
        <v>112.3</v>
      </c>
      <c r="M199" s="21">
        <v>108.4</v>
      </c>
      <c r="N199" s="21">
        <v>140</v>
      </c>
      <c r="O199" s="21">
        <v>126.7</v>
      </c>
      <c r="P199" s="21">
        <v>149</v>
      </c>
      <c r="Q199" s="21">
        <v>138.4</v>
      </c>
      <c r="R199" s="21">
        <v>1747.3000000000002</v>
      </c>
      <c r="S199" s="21">
        <v>138.9</v>
      </c>
      <c r="T199" s="21">
        <v>128.69999999999999</v>
      </c>
      <c r="U199" s="21">
        <v>137.4</v>
      </c>
      <c r="V199" s="21">
        <v>405</v>
      </c>
      <c r="W199" s="21">
        <v>142.5</v>
      </c>
      <c r="X199" s="21">
        <v>133.1</v>
      </c>
      <c r="Y199" s="21">
        <v>275.60000000000002</v>
      </c>
      <c r="Z199" s="21">
        <v>132.6</v>
      </c>
      <c r="AA199" s="21">
        <v>128.19999999999999</v>
      </c>
      <c r="AB199" s="21">
        <f t="shared" si="7"/>
        <v>260.79999999999995</v>
      </c>
      <c r="AC199" s="21">
        <v>126.5</v>
      </c>
      <c r="AD199" s="21">
        <v>120.4</v>
      </c>
      <c r="AE199" s="21">
        <v>128.5</v>
      </c>
      <c r="AF199" s="21">
        <v>141.19999999999999</v>
      </c>
      <c r="AG199" s="21">
        <v>161</v>
      </c>
      <c r="AH199" s="21">
        <v>129.5</v>
      </c>
      <c r="AI199" s="21">
        <v>136.19999999999999</v>
      </c>
    </row>
    <row r="200" spans="1:35" x14ac:dyDescent="0.35">
      <c r="A200" s="21" t="s">
        <v>34</v>
      </c>
      <c r="B200" s="21">
        <v>2018</v>
      </c>
      <c r="C200" s="21" t="s">
        <v>39</v>
      </c>
      <c r="D200" s="17" t="str">
        <f t="shared" si="6"/>
        <v>June-2018</v>
      </c>
      <c r="E200" s="21">
        <v>136.9</v>
      </c>
      <c r="F200" s="21">
        <v>148.69999999999999</v>
      </c>
      <c r="G200" s="21">
        <v>135.6</v>
      </c>
      <c r="H200" s="21">
        <v>142.30000000000001</v>
      </c>
      <c r="I200" s="21">
        <v>121.3</v>
      </c>
      <c r="J200" s="21">
        <v>153.19999999999999</v>
      </c>
      <c r="K200" s="21">
        <v>143.69999999999999</v>
      </c>
      <c r="L200" s="21">
        <v>121.4</v>
      </c>
      <c r="M200" s="21">
        <v>111.1</v>
      </c>
      <c r="N200" s="21">
        <v>138.4</v>
      </c>
      <c r="O200" s="21">
        <v>130.30000000000001</v>
      </c>
      <c r="P200" s="21">
        <v>151.80000000000001</v>
      </c>
      <c r="Q200" s="21">
        <v>139.4</v>
      </c>
      <c r="R200" s="21">
        <v>1774.1000000000001</v>
      </c>
      <c r="S200" s="21">
        <v>146.4</v>
      </c>
      <c r="T200" s="21">
        <v>138.1</v>
      </c>
      <c r="U200" s="21">
        <v>145.19999999999999</v>
      </c>
      <c r="V200" s="21">
        <v>429.7</v>
      </c>
      <c r="W200" s="21">
        <v>142.5</v>
      </c>
      <c r="X200" s="21">
        <v>137.9</v>
      </c>
      <c r="Y200" s="21">
        <v>280.39999999999998</v>
      </c>
      <c r="Z200" s="21">
        <v>136.19999999999999</v>
      </c>
      <c r="AA200" s="21">
        <v>130.1</v>
      </c>
      <c r="AB200" s="21">
        <f t="shared" si="7"/>
        <v>266.29999999999995</v>
      </c>
      <c r="AC200" s="21">
        <v>138.1</v>
      </c>
      <c r="AD200" s="21">
        <v>123.7</v>
      </c>
      <c r="AE200" s="21">
        <v>132.6</v>
      </c>
      <c r="AF200" s="21">
        <v>142.80000000000001</v>
      </c>
      <c r="AG200" s="21">
        <v>158.30000000000001</v>
      </c>
      <c r="AH200" s="21">
        <v>132.6</v>
      </c>
      <c r="AI200" s="21">
        <v>138.5</v>
      </c>
    </row>
    <row r="201" spans="1:35" x14ac:dyDescent="0.35">
      <c r="A201" s="21" t="s">
        <v>30</v>
      </c>
      <c r="B201" s="21">
        <v>2018</v>
      </c>
      <c r="C201" s="21" t="s">
        <v>40</v>
      </c>
      <c r="D201" s="17" t="str">
        <f t="shared" si="6"/>
        <v>July-2018</v>
      </c>
      <c r="E201" s="21">
        <v>138.4</v>
      </c>
      <c r="F201" s="21">
        <v>149.30000000000001</v>
      </c>
      <c r="G201" s="21">
        <v>139.30000000000001</v>
      </c>
      <c r="H201" s="21">
        <v>143.4</v>
      </c>
      <c r="I201" s="21">
        <v>124.1</v>
      </c>
      <c r="J201" s="21">
        <v>153.30000000000001</v>
      </c>
      <c r="K201" s="21">
        <v>154.19999999999999</v>
      </c>
      <c r="L201" s="21">
        <v>126.4</v>
      </c>
      <c r="M201" s="21">
        <v>114.3</v>
      </c>
      <c r="N201" s="21">
        <v>138.19999999999999</v>
      </c>
      <c r="O201" s="21">
        <v>132.80000000000001</v>
      </c>
      <c r="P201" s="21">
        <v>154.80000000000001</v>
      </c>
      <c r="Q201" s="21">
        <v>142</v>
      </c>
      <c r="R201" s="21">
        <v>1810.5000000000002</v>
      </c>
      <c r="S201" s="21">
        <v>151.5</v>
      </c>
      <c r="T201" s="21">
        <v>145.1</v>
      </c>
      <c r="U201" s="21">
        <v>150.6</v>
      </c>
      <c r="V201" s="21">
        <v>447.20000000000005</v>
      </c>
      <c r="W201" s="21">
        <v>143.6</v>
      </c>
      <c r="X201" s="21">
        <v>143.1</v>
      </c>
      <c r="Y201" s="21">
        <v>286.7</v>
      </c>
      <c r="Z201" s="21">
        <v>139</v>
      </c>
      <c r="AA201" s="21">
        <v>131.4</v>
      </c>
      <c r="AB201" s="21">
        <f t="shared" si="7"/>
        <v>270.39999999999998</v>
      </c>
      <c r="AC201" s="21">
        <v>146.80000000000001</v>
      </c>
      <c r="AD201" s="21">
        <v>127.5</v>
      </c>
      <c r="AE201" s="21">
        <v>138.4</v>
      </c>
      <c r="AF201" s="21">
        <v>145.80000000000001</v>
      </c>
      <c r="AG201" s="21">
        <v>156.1</v>
      </c>
      <c r="AH201" s="21">
        <v>136</v>
      </c>
      <c r="AI201" s="21">
        <v>141.80000000000001</v>
      </c>
    </row>
    <row r="202" spans="1:35" x14ac:dyDescent="0.35">
      <c r="A202" s="21" t="s">
        <v>33</v>
      </c>
      <c r="B202" s="21">
        <v>2018</v>
      </c>
      <c r="C202" s="21" t="s">
        <v>40</v>
      </c>
      <c r="D202" s="17" t="str">
        <f t="shared" si="6"/>
        <v>July-2018</v>
      </c>
      <c r="E202" s="21">
        <v>135.6</v>
      </c>
      <c r="F202" s="21">
        <v>148.6</v>
      </c>
      <c r="G202" s="21">
        <v>139.1</v>
      </c>
      <c r="H202" s="21">
        <v>141</v>
      </c>
      <c r="I202" s="21">
        <v>116.7</v>
      </c>
      <c r="J202" s="21">
        <v>149.69999999999999</v>
      </c>
      <c r="K202" s="21">
        <v>159.19999999999999</v>
      </c>
      <c r="L202" s="21">
        <v>112.6</v>
      </c>
      <c r="M202" s="21">
        <v>111.8</v>
      </c>
      <c r="N202" s="21">
        <v>140.30000000000001</v>
      </c>
      <c r="O202" s="21">
        <v>126.8</v>
      </c>
      <c r="P202" s="21">
        <v>149.4</v>
      </c>
      <c r="Q202" s="21">
        <v>140.30000000000001</v>
      </c>
      <c r="R202" s="21">
        <v>1771.1</v>
      </c>
      <c r="S202" s="21">
        <v>139.6</v>
      </c>
      <c r="T202" s="21">
        <v>128.9</v>
      </c>
      <c r="U202" s="21">
        <v>137.9</v>
      </c>
      <c r="V202" s="21">
        <v>406.4</v>
      </c>
      <c r="W202" s="21">
        <v>143.6</v>
      </c>
      <c r="X202" s="21">
        <v>133.6</v>
      </c>
      <c r="Y202" s="21">
        <v>277.2</v>
      </c>
      <c r="Z202" s="21">
        <v>133.6</v>
      </c>
      <c r="AA202" s="21">
        <v>128.19999999999999</v>
      </c>
      <c r="AB202" s="21">
        <f t="shared" si="7"/>
        <v>261.79999999999995</v>
      </c>
      <c r="AC202" s="21">
        <v>128.1</v>
      </c>
      <c r="AD202" s="21">
        <v>120.1</v>
      </c>
      <c r="AE202" s="21">
        <v>129</v>
      </c>
      <c r="AF202" s="21">
        <v>144</v>
      </c>
      <c r="AG202" s="21">
        <v>161.4</v>
      </c>
      <c r="AH202" s="21">
        <v>130.19999999999999</v>
      </c>
      <c r="AI202" s="21">
        <v>137.5</v>
      </c>
    </row>
    <row r="203" spans="1:35" x14ac:dyDescent="0.35">
      <c r="A203" s="21" t="s">
        <v>34</v>
      </c>
      <c r="B203" s="21">
        <v>2018</v>
      </c>
      <c r="C203" s="21" t="s">
        <v>40</v>
      </c>
      <c r="D203" s="17" t="str">
        <f t="shared" si="6"/>
        <v>July-2018</v>
      </c>
      <c r="E203" s="21">
        <v>137.5</v>
      </c>
      <c r="F203" s="21">
        <v>149.1</v>
      </c>
      <c r="G203" s="21">
        <v>139.19999999999999</v>
      </c>
      <c r="H203" s="21">
        <v>142.5</v>
      </c>
      <c r="I203" s="21">
        <v>121.4</v>
      </c>
      <c r="J203" s="21">
        <v>151.6</v>
      </c>
      <c r="K203" s="21">
        <v>155.9</v>
      </c>
      <c r="L203" s="21">
        <v>121.7</v>
      </c>
      <c r="M203" s="21">
        <v>113.5</v>
      </c>
      <c r="N203" s="21">
        <v>138.9</v>
      </c>
      <c r="O203" s="21">
        <v>130.30000000000001</v>
      </c>
      <c r="P203" s="21">
        <v>152.30000000000001</v>
      </c>
      <c r="Q203" s="21">
        <v>141.4</v>
      </c>
      <c r="R203" s="21">
        <v>1795.3</v>
      </c>
      <c r="S203" s="21">
        <v>146.80000000000001</v>
      </c>
      <c r="T203" s="21">
        <v>138.4</v>
      </c>
      <c r="U203" s="21">
        <v>145.6</v>
      </c>
      <c r="V203" s="21">
        <v>430.80000000000007</v>
      </c>
      <c r="W203" s="21">
        <v>143.6</v>
      </c>
      <c r="X203" s="21">
        <v>138.6</v>
      </c>
      <c r="Y203" s="21">
        <v>282.2</v>
      </c>
      <c r="Z203" s="21">
        <v>137</v>
      </c>
      <c r="AA203" s="21">
        <v>130.1</v>
      </c>
      <c r="AB203" s="21">
        <f t="shared" si="7"/>
        <v>267.10000000000002</v>
      </c>
      <c r="AC203" s="21">
        <v>139.69999999999999</v>
      </c>
      <c r="AD203" s="21">
        <v>123.6</v>
      </c>
      <c r="AE203" s="21">
        <v>133.1</v>
      </c>
      <c r="AF203" s="21">
        <v>144.69999999999999</v>
      </c>
      <c r="AG203" s="21">
        <v>157.5</v>
      </c>
      <c r="AH203" s="21">
        <v>133.19999999999999</v>
      </c>
      <c r="AI203" s="21">
        <v>139.80000000000001</v>
      </c>
    </row>
    <row r="204" spans="1:35" x14ac:dyDescent="0.35">
      <c r="A204" s="21" t="s">
        <v>30</v>
      </c>
      <c r="B204" s="21">
        <v>2018</v>
      </c>
      <c r="C204" s="21" t="s">
        <v>41</v>
      </c>
      <c r="D204" s="17" t="str">
        <f t="shared" si="6"/>
        <v>August-2018</v>
      </c>
      <c r="E204" s="21">
        <v>139.19999999999999</v>
      </c>
      <c r="F204" s="21">
        <v>148.80000000000001</v>
      </c>
      <c r="G204" s="21">
        <v>139.1</v>
      </c>
      <c r="H204" s="21">
        <v>143.5</v>
      </c>
      <c r="I204" s="21">
        <v>125</v>
      </c>
      <c r="J204" s="21">
        <v>154.4</v>
      </c>
      <c r="K204" s="21">
        <v>156.30000000000001</v>
      </c>
      <c r="L204" s="21">
        <v>126.8</v>
      </c>
      <c r="M204" s="21">
        <v>115.4</v>
      </c>
      <c r="N204" s="21">
        <v>138.6</v>
      </c>
      <c r="O204" s="21">
        <v>133.80000000000001</v>
      </c>
      <c r="P204" s="21">
        <v>155.19999999999999</v>
      </c>
      <c r="Q204" s="21">
        <v>142.69999999999999</v>
      </c>
      <c r="R204" s="21">
        <v>1818.8</v>
      </c>
      <c r="S204" s="21">
        <v>152.1</v>
      </c>
      <c r="T204" s="21">
        <v>145.80000000000001</v>
      </c>
      <c r="U204" s="21">
        <v>151.30000000000001</v>
      </c>
      <c r="V204" s="21">
        <v>449.2</v>
      </c>
      <c r="W204" s="21">
        <v>144.6</v>
      </c>
      <c r="X204" s="21">
        <v>143.80000000000001</v>
      </c>
      <c r="Y204" s="21">
        <v>288.39999999999998</v>
      </c>
      <c r="Z204" s="21">
        <v>139.4</v>
      </c>
      <c r="AA204" s="21">
        <v>131.30000000000001</v>
      </c>
      <c r="AB204" s="21">
        <f t="shared" si="7"/>
        <v>270.70000000000005</v>
      </c>
      <c r="AC204" s="21">
        <v>147.69999999999999</v>
      </c>
      <c r="AD204" s="21">
        <v>128.30000000000001</v>
      </c>
      <c r="AE204" s="21">
        <v>138.6</v>
      </c>
      <c r="AF204" s="21">
        <v>146.9</v>
      </c>
      <c r="AG204" s="21">
        <v>156.4</v>
      </c>
      <c r="AH204" s="21">
        <v>136.6</v>
      </c>
      <c r="AI204" s="21">
        <v>142.5</v>
      </c>
    </row>
    <row r="205" spans="1:35" x14ac:dyDescent="0.35">
      <c r="A205" s="21" t="s">
        <v>33</v>
      </c>
      <c r="B205" s="21">
        <v>2018</v>
      </c>
      <c r="C205" s="21" t="s">
        <v>41</v>
      </c>
      <c r="D205" s="17" t="str">
        <f t="shared" si="6"/>
        <v>August-2018</v>
      </c>
      <c r="E205" s="21">
        <v>136.5</v>
      </c>
      <c r="F205" s="21">
        <v>146.4</v>
      </c>
      <c r="G205" s="21">
        <v>136.6</v>
      </c>
      <c r="H205" s="21">
        <v>141.19999999999999</v>
      </c>
      <c r="I205" s="21">
        <v>117.4</v>
      </c>
      <c r="J205" s="21">
        <v>146.30000000000001</v>
      </c>
      <c r="K205" s="21">
        <v>157.30000000000001</v>
      </c>
      <c r="L205" s="21">
        <v>113.6</v>
      </c>
      <c r="M205" s="21">
        <v>113.3</v>
      </c>
      <c r="N205" s="21">
        <v>141.1</v>
      </c>
      <c r="O205" s="21">
        <v>127.4</v>
      </c>
      <c r="P205" s="21">
        <v>150.4</v>
      </c>
      <c r="Q205" s="21">
        <v>140.1</v>
      </c>
      <c r="R205" s="21">
        <v>1767.6</v>
      </c>
      <c r="S205" s="21">
        <v>140</v>
      </c>
      <c r="T205" s="21">
        <v>129</v>
      </c>
      <c r="U205" s="21">
        <v>138.30000000000001</v>
      </c>
      <c r="V205" s="21">
        <v>407.3</v>
      </c>
      <c r="W205" s="21">
        <v>144.6</v>
      </c>
      <c r="X205" s="21">
        <v>134.4</v>
      </c>
      <c r="Y205" s="21">
        <v>279</v>
      </c>
      <c r="Z205" s="21">
        <v>134.9</v>
      </c>
      <c r="AA205" s="21">
        <v>128.30000000000001</v>
      </c>
      <c r="AB205" s="21">
        <f t="shared" si="7"/>
        <v>263.20000000000005</v>
      </c>
      <c r="AC205" s="21">
        <v>129.80000000000001</v>
      </c>
      <c r="AD205" s="21">
        <v>120.7</v>
      </c>
      <c r="AE205" s="21">
        <v>129.80000000000001</v>
      </c>
      <c r="AF205" s="21">
        <v>145.30000000000001</v>
      </c>
      <c r="AG205" s="21">
        <v>162.1</v>
      </c>
      <c r="AH205" s="21">
        <v>131</v>
      </c>
      <c r="AI205" s="21">
        <v>138</v>
      </c>
    </row>
    <row r="206" spans="1:35" x14ac:dyDescent="0.35">
      <c r="A206" s="21" t="s">
        <v>34</v>
      </c>
      <c r="B206" s="21">
        <v>2018</v>
      </c>
      <c r="C206" s="21" t="s">
        <v>41</v>
      </c>
      <c r="D206" s="17" t="str">
        <f t="shared" si="6"/>
        <v>August-2018</v>
      </c>
      <c r="E206" s="21">
        <v>138.30000000000001</v>
      </c>
      <c r="F206" s="21">
        <v>148</v>
      </c>
      <c r="G206" s="21">
        <v>138.1</v>
      </c>
      <c r="H206" s="21">
        <v>142.6</v>
      </c>
      <c r="I206" s="21">
        <v>122.2</v>
      </c>
      <c r="J206" s="21">
        <v>150.6</v>
      </c>
      <c r="K206" s="21">
        <v>156.6</v>
      </c>
      <c r="L206" s="21">
        <v>122.4</v>
      </c>
      <c r="M206" s="21">
        <v>114.7</v>
      </c>
      <c r="N206" s="21">
        <v>139.4</v>
      </c>
      <c r="O206" s="21">
        <v>131.1</v>
      </c>
      <c r="P206" s="21">
        <v>153</v>
      </c>
      <c r="Q206" s="21">
        <v>141.69999999999999</v>
      </c>
      <c r="R206" s="21">
        <v>1798.7000000000003</v>
      </c>
      <c r="S206" s="21">
        <v>147.30000000000001</v>
      </c>
      <c r="T206" s="21">
        <v>138.80000000000001</v>
      </c>
      <c r="U206" s="21">
        <v>146.1</v>
      </c>
      <c r="V206" s="21">
        <v>432.20000000000005</v>
      </c>
      <c r="W206" s="21">
        <v>144.6</v>
      </c>
      <c r="X206" s="21">
        <v>139.4</v>
      </c>
      <c r="Y206" s="21">
        <v>284</v>
      </c>
      <c r="Z206" s="21">
        <v>137.69999999999999</v>
      </c>
      <c r="AA206" s="21">
        <v>130.1</v>
      </c>
      <c r="AB206" s="21">
        <f t="shared" si="7"/>
        <v>267.79999999999995</v>
      </c>
      <c r="AC206" s="21">
        <v>140.9</v>
      </c>
      <c r="AD206" s="21">
        <v>124.3</v>
      </c>
      <c r="AE206" s="21">
        <v>133.6</v>
      </c>
      <c r="AF206" s="21">
        <v>146</v>
      </c>
      <c r="AG206" s="21">
        <v>157.9</v>
      </c>
      <c r="AH206" s="21">
        <v>133.9</v>
      </c>
      <c r="AI206" s="21">
        <v>140.4</v>
      </c>
    </row>
    <row r="207" spans="1:35" x14ac:dyDescent="0.35">
      <c r="A207" s="21" t="s">
        <v>30</v>
      </c>
      <c r="B207" s="21">
        <v>2018</v>
      </c>
      <c r="C207" s="21" t="s">
        <v>42</v>
      </c>
      <c r="D207" s="17" t="str">
        <f t="shared" si="6"/>
        <v>September-2018</v>
      </c>
      <c r="E207" s="21">
        <v>139.4</v>
      </c>
      <c r="F207" s="21">
        <v>147.19999999999999</v>
      </c>
      <c r="G207" s="21">
        <v>136.6</v>
      </c>
      <c r="H207" s="21">
        <v>143.69999999999999</v>
      </c>
      <c r="I207" s="21">
        <v>124.6</v>
      </c>
      <c r="J207" s="21">
        <v>150.1</v>
      </c>
      <c r="K207" s="21">
        <v>149.4</v>
      </c>
      <c r="L207" s="21">
        <v>125.4</v>
      </c>
      <c r="M207" s="21">
        <v>114.4</v>
      </c>
      <c r="N207" s="21">
        <v>138.69999999999999</v>
      </c>
      <c r="O207" s="21">
        <v>133.1</v>
      </c>
      <c r="P207" s="21">
        <v>155.9</v>
      </c>
      <c r="Q207" s="21">
        <v>141.30000000000001</v>
      </c>
      <c r="R207" s="21">
        <v>1799.8000000000002</v>
      </c>
      <c r="S207" s="21">
        <v>152.1</v>
      </c>
      <c r="T207" s="21">
        <v>146.1</v>
      </c>
      <c r="U207" s="21">
        <v>151.30000000000001</v>
      </c>
      <c r="V207" s="21">
        <v>449.5</v>
      </c>
      <c r="W207" s="21">
        <v>145.30000000000001</v>
      </c>
      <c r="X207" s="21">
        <v>144</v>
      </c>
      <c r="Y207" s="21">
        <v>289.3</v>
      </c>
      <c r="Z207" s="21">
        <v>140</v>
      </c>
      <c r="AA207" s="21">
        <v>132</v>
      </c>
      <c r="AB207" s="21">
        <f t="shared" si="7"/>
        <v>272</v>
      </c>
      <c r="AC207" s="21">
        <v>149</v>
      </c>
      <c r="AD207" s="21">
        <v>129.9</v>
      </c>
      <c r="AE207" s="21">
        <v>140</v>
      </c>
      <c r="AF207" s="21">
        <v>147.6</v>
      </c>
      <c r="AG207" s="21">
        <v>157.69999999999999</v>
      </c>
      <c r="AH207" s="21">
        <v>137.4</v>
      </c>
      <c r="AI207" s="21">
        <v>142.1</v>
      </c>
    </row>
    <row r="208" spans="1:35" x14ac:dyDescent="0.35">
      <c r="A208" s="21" t="s">
        <v>33</v>
      </c>
      <c r="B208" s="21">
        <v>2018</v>
      </c>
      <c r="C208" s="21" t="s">
        <v>42</v>
      </c>
      <c r="D208" s="17" t="str">
        <f t="shared" si="6"/>
        <v>September-2018</v>
      </c>
      <c r="E208" s="21">
        <v>137</v>
      </c>
      <c r="F208" s="21">
        <v>143.1</v>
      </c>
      <c r="G208" s="21">
        <v>132.80000000000001</v>
      </c>
      <c r="H208" s="21">
        <v>141.5</v>
      </c>
      <c r="I208" s="21">
        <v>117.8</v>
      </c>
      <c r="J208" s="21">
        <v>140</v>
      </c>
      <c r="K208" s="21">
        <v>151.30000000000001</v>
      </c>
      <c r="L208" s="21">
        <v>113.5</v>
      </c>
      <c r="M208" s="21">
        <v>112.3</v>
      </c>
      <c r="N208" s="21">
        <v>141.19999999999999</v>
      </c>
      <c r="O208" s="21">
        <v>127.7</v>
      </c>
      <c r="P208" s="21">
        <v>151.30000000000001</v>
      </c>
      <c r="Q208" s="21">
        <v>138.9</v>
      </c>
      <c r="R208" s="21">
        <v>1748.4</v>
      </c>
      <c r="S208" s="21">
        <v>140.80000000000001</v>
      </c>
      <c r="T208" s="21">
        <v>129.30000000000001</v>
      </c>
      <c r="U208" s="21">
        <v>139.1</v>
      </c>
      <c r="V208" s="21">
        <v>409.20000000000005</v>
      </c>
      <c r="W208" s="21">
        <v>145.30000000000001</v>
      </c>
      <c r="X208" s="21">
        <v>134.9</v>
      </c>
      <c r="Y208" s="21">
        <v>280.20000000000005</v>
      </c>
      <c r="Z208" s="21">
        <v>135.69999999999999</v>
      </c>
      <c r="AA208" s="21">
        <v>129.30000000000001</v>
      </c>
      <c r="AB208" s="21">
        <f t="shared" si="7"/>
        <v>265</v>
      </c>
      <c r="AC208" s="21">
        <v>131.19999999999999</v>
      </c>
      <c r="AD208" s="21">
        <v>122.5</v>
      </c>
      <c r="AE208" s="21">
        <v>130.19999999999999</v>
      </c>
      <c r="AF208" s="21">
        <v>145.19999999999999</v>
      </c>
      <c r="AG208" s="21">
        <v>163.30000000000001</v>
      </c>
      <c r="AH208" s="21">
        <v>131.9</v>
      </c>
      <c r="AI208" s="21">
        <v>138.1</v>
      </c>
    </row>
    <row r="209" spans="1:35" x14ac:dyDescent="0.35">
      <c r="A209" s="21" t="s">
        <v>34</v>
      </c>
      <c r="B209" s="21">
        <v>2018</v>
      </c>
      <c r="C209" s="21" t="s">
        <v>42</v>
      </c>
      <c r="D209" s="17" t="str">
        <f t="shared" si="6"/>
        <v>September-2018</v>
      </c>
      <c r="E209" s="21">
        <v>138.6</v>
      </c>
      <c r="F209" s="21">
        <v>145.80000000000001</v>
      </c>
      <c r="G209" s="21">
        <v>135.1</v>
      </c>
      <c r="H209" s="21">
        <v>142.9</v>
      </c>
      <c r="I209" s="21">
        <v>122.1</v>
      </c>
      <c r="J209" s="21">
        <v>145.4</v>
      </c>
      <c r="K209" s="21">
        <v>150</v>
      </c>
      <c r="L209" s="21">
        <v>121.4</v>
      </c>
      <c r="M209" s="21">
        <v>113.7</v>
      </c>
      <c r="N209" s="21">
        <v>139.5</v>
      </c>
      <c r="O209" s="21">
        <v>130.80000000000001</v>
      </c>
      <c r="P209" s="21">
        <v>153.80000000000001</v>
      </c>
      <c r="Q209" s="21">
        <v>140.4</v>
      </c>
      <c r="R209" s="21">
        <v>1779.5</v>
      </c>
      <c r="S209" s="21">
        <v>147.69999999999999</v>
      </c>
      <c r="T209" s="21">
        <v>139.1</v>
      </c>
      <c r="U209" s="21">
        <v>146.5</v>
      </c>
      <c r="V209" s="21">
        <v>433.29999999999995</v>
      </c>
      <c r="W209" s="21">
        <v>145.30000000000001</v>
      </c>
      <c r="X209" s="21">
        <v>139.69999999999999</v>
      </c>
      <c r="Y209" s="21">
        <v>285</v>
      </c>
      <c r="Z209" s="21">
        <v>138.4</v>
      </c>
      <c r="AA209" s="21">
        <v>130.9</v>
      </c>
      <c r="AB209" s="21">
        <f t="shared" si="7"/>
        <v>269.3</v>
      </c>
      <c r="AC209" s="21">
        <v>142.30000000000001</v>
      </c>
      <c r="AD209" s="21">
        <v>126</v>
      </c>
      <c r="AE209" s="21">
        <v>134.5</v>
      </c>
      <c r="AF209" s="21">
        <v>146.19999999999999</v>
      </c>
      <c r="AG209" s="21">
        <v>159.19999999999999</v>
      </c>
      <c r="AH209" s="21">
        <v>134.69999999999999</v>
      </c>
      <c r="AI209" s="21">
        <v>140.19999999999999</v>
      </c>
    </row>
    <row r="210" spans="1:35" x14ac:dyDescent="0.35">
      <c r="A210" s="21" t="s">
        <v>30</v>
      </c>
      <c r="B210" s="21">
        <v>2018</v>
      </c>
      <c r="C210" s="21" t="s">
        <v>43</v>
      </c>
      <c r="D210" s="17" t="str">
        <f t="shared" si="6"/>
        <v>October-2018</v>
      </c>
      <c r="E210" s="21">
        <v>139.30000000000001</v>
      </c>
      <c r="F210" s="21">
        <v>147.6</v>
      </c>
      <c r="G210" s="21">
        <v>134.6</v>
      </c>
      <c r="H210" s="21">
        <v>141.9</v>
      </c>
      <c r="I210" s="21">
        <v>123.5</v>
      </c>
      <c r="J210" s="21">
        <v>144.5</v>
      </c>
      <c r="K210" s="21">
        <v>147.6</v>
      </c>
      <c r="L210" s="21">
        <v>121.4</v>
      </c>
      <c r="M210" s="21">
        <v>112.3</v>
      </c>
      <c r="N210" s="21">
        <v>139.5</v>
      </c>
      <c r="O210" s="21">
        <v>134.6</v>
      </c>
      <c r="P210" s="21">
        <v>155.19999999999999</v>
      </c>
      <c r="Q210" s="21">
        <v>140.19999999999999</v>
      </c>
      <c r="R210" s="21">
        <v>1782.2</v>
      </c>
      <c r="S210" s="21">
        <v>150.69999999999999</v>
      </c>
      <c r="T210" s="21">
        <v>144.5</v>
      </c>
      <c r="U210" s="21">
        <v>149.80000000000001</v>
      </c>
      <c r="V210" s="21">
        <v>445</v>
      </c>
      <c r="W210" s="21">
        <v>146.30000000000001</v>
      </c>
      <c r="X210" s="21">
        <v>147.5</v>
      </c>
      <c r="Y210" s="21">
        <v>293.8</v>
      </c>
      <c r="Z210" s="21">
        <v>144.80000000000001</v>
      </c>
      <c r="AA210" s="21">
        <v>134.4</v>
      </c>
      <c r="AB210" s="21">
        <f t="shared" si="7"/>
        <v>279.20000000000005</v>
      </c>
      <c r="AC210" s="21">
        <v>149.69999999999999</v>
      </c>
      <c r="AD210" s="21">
        <v>130.80000000000001</v>
      </c>
      <c r="AE210" s="21">
        <v>140.1</v>
      </c>
      <c r="AF210" s="21">
        <v>148</v>
      </c>
      <c r="AG210" s="21">
        <v>159.6</v>
      </c>
      <c r="AH210" s="21">
        <v>139.80000000000001</v>
      </c>
      <c r="AI210" s="21">
        <v>142.19999999999999</v>
      </c>
    </row>
    <row r="211" spans="1:35" x14ac:dyDescent="0.35">
      <c r="A211" s="21" t="s">
        <v>33</v>
      </c>
      <c r="B211" s="21">
        <v>2018</v>
      </c>
      <c r="C211" s="21" t="s">
        <v>43</v>
      </c>
      <c r="D211" s="17" t="str">
        <f t="shared" si="6"/>
        <v>October-2018</v>
      </c>
      <c r="E211" s="21">
        <v>137.6</v>
      </c>
      <c r="F211" s="21">
        <v>144.9</v>
      </c>
      <c r="G211" s="21">
        <v>133.5</v>
      </c>
      <c r="H211" s="21">
        <v>141.5</v>
      </c>
      <c r="I211" s="21">
        <v>118</v>
      </c>
      <c r="J211" s="21">
        <v>139.5</v>
      </c>
      <c r="K211" s="21">
        <v>153</v>
      </c>
      <c r="L211" s="21">
        <v>113.2</v>
      </c>
      <c r="M211" s="21">
        <v>112.8</v>
      </c>
      <c r="N211" s="21">
        <v>141.1</v>
      </c>
      <c r="O211" s="21">
        <v>127.6</v>
      </c>
      <c r="P211" s="21">
        <v>152</v>
      </c>
      <c r="Q211" s="21">
        <v>139.4</v>
      </c>
      <c r="R211" s="21">
        <v>1754.1</v>
      </c>
      <c r="S211" s="21">
        <v>141.5</v>
      </c>
      <c r="T211" s="21">
        <v>129.80000000000001</v>
      </c>
      <c r="U211" s="21">
        <v>139.69999999999999</v>
      </c>
      <c r="V211" s="21">
        <v>411</v>
      </c>
      <c r="W211" s="21">
        <v>146.30000000000001</v>
      </c>
      <c r="X211" s="21">
        <v>135.1</v>
      </c>
      <c r="Y211" s="21">
        <v>281.39999999999998</v>
      </c>
      <c r="Z211" s="21">
        <v>136.19999999999999</v>
      </c>
      <c r="AA211" s="21">
        <v>130.4</v>
      </c>
      <c r="AB211" s="21">
        <f t="shared" si="7"/>
        <v>266.60000000000002</v>
      </c>
      <c r="AC211" s="21">
        <v>133.4</v>
      </c>
      <c r="AD211" s="21">
        <v>123.3</v>
      </c>
      <c r="AE211" s="21">
        <v>130.69999999999999</v>
      </c>
      <c r="AF211" s="21">
        <v>145.5</v>
      </c>
      <c r="AG211" s="21">
        <v>164</v>
      </c>
      <c r="AH211" s="21">
        <v>132.5</v>
      </c>
      <c r="AI211" s="21">
        <v>138.9</v>
      </c>
    </row>
    <row r="212" spans="1:35" x14ac:dyDescent="0.35">
      <c r="A212" s="21" t="s">
        <v>34</v>
      </c>
      <c r="B212" s="21">
        <v>2018</v>
      </c>
      <c r="C212" s="21" t="s">
        <v>43</v>
      </c>
      <c r="D212" s="17" t="str">
        <f t="shared" si="6"/>
        <v>October-2018</v>
      </c>
      <c r="E212" s="21">
        <v>137.4</v>
      </c>
      <c r="F212" s="21">
        <v>149.5</v>
      </c>
      <c r="G212" s="21">
        <v>137.30000000000001</v>
      </c>
      <c r="H212" s="21">
        <v>141.9</v>
      </c>
      <c r="I212" s="21">
        <v>121.1</v>
      </c>
      <c r="J212" s="21">
        <v>142.5</v>
      </c>
      <c r="K212" s="21">
        <v>146.69999999999999</v>
      </c>
      <c r="L212" s="21">
        <v>119.1</v>
      </c>
      <c r="M212" s="21">
        <v>111.9</v>
      </c>
      <c r="N212" s="21">
        <v>141</v>
      </c>
      <c r="O212" s="21">
        <v>133.6</v>
      </c>
      <c r="P212" s="21">
        <v>154.5</v>
      </c>
      <c r="Q212" s="21">
        <v>139.69999999999999</v>
      </c>
      <c r="R212" s="21">
        <v>1776.2</v>
      </c>
      <c r="S212" s="21">
        <v>148</v>
      </c>
      <c r="T212" s="21">
        <v>139.19999999999999</v>
      </c>
      <c r="U212" s="21">
        <v>146.80000000000001</v>
      </c>
      <c r="V212" s="21">
        <v>434</v>
      </c>
      <c r="W212" s="21">
        <v>146.9</v>
      </c>
      <c r="X212" s="21">
        <v>142.19999999999999</v>
      </c>
      <c r="Y212" s="21">
        <v>289.10000000000002</v>
      </c>
      <c r="Z212" s="21">
        <v>142.1</v>
      </c>
      <c r="AA212" s="21">
        <v>132</v>
      </c>
      <c r="AB212" s="21">
        <f t="shared" si="7"/>
        <v>274.10000000000002</v>
      </c>
      <c r="AC212" s="21">
        <v>145.30000000000001</v>
      </c>
      <c r="AD212" s="21">
        <v>125.5</v>
      </c>
      <c r="AE212" s="21">
        <v>136.5</v>
      </c>
      <c r="AF212" s="21">
        <v>147.80000000000001</v>
      </c>
      <c r="AG212" s="21">
        <v>162.6</v>
      </c>
      <c r="AH212" s="21">
        <v>136.30000000000001</v>
      </c>
      <c r="AI212" s="21">
        <v>140.80000000000001</v>
      </c>
    </row>
    <row r="213" spans="1:35" x14ac:dyDescent="0.35">
      <c r="A213" s="21" t="s">
        <v>30</v>
      </c>
      <c r="B213" s="21">
        <v>2018</v>
      </c>
      <c r="C213" s="21" t="s">
        <v>45</v>
      </c>
      <c r="D213" s="17" t="str">
        <f t="shared" si="6"/>
        <v>November-2018</v>
      </c>
      <c r="E213" s="21">
        <v>137.1</v>
      </c>
      <c r="F213" s="21">
        <v>150.80000000000001</v>
      </c>
      <c r="G213" s="21">
        <v>136.69999999999999</v>
      </c>
      <c r="H213" s="21">
        <v>141.9</v>
      </c>
      <c r="I213" s="21">
        <v>122.8</v>
      </c>
      <c r="J213" s="21">
        <v>143.9</v>
      </c>
      <c r="K213" s="21">
        <v>147.5</v>
      </c>
      <c r="L213" s="21">
        <v>121</v>
      </c>
      <c r="M213" s="21">
        <v>111.6</v>
      </c>
      <c r="N213" s="21">
        <v>140.6</v>
      </c>
      <c r="O213" s="21">
        <v>137.5</v>
      </c>
      <c r="P213" s="21">
        <v>156.1</v>
      </c>
      <c r="Q213" s="21">
        <v>140</v>
      </c>
      <c r="R213" s="21">
        <v>1787.4999999999995</v>
      </c>
      <c r="S213" s="21">
        <v>151.69999999999999</v>
      </c>
      <c r="T213" s="21">
        <v>145.5</v>
      </c>
      <c r="U213" s="21">
        <v>150.80000000000001</v>
      </c>
      <c r="V213" s="21">
        <v>448</v>
      </c>
      <c r="W213" s="21">
        <v>146.9</v>
      </c>
      <c r="X213" s="21">
        <v>148</v>
      </c>
      <c r="Y213" s="21">
        <v>294.89999999999998</v>
      </c>
      <c r="Z213" s="21">
        <v>145.4</v>
      </c>
      <c r="AA213" s="21">
        <v>133.1</v>
      </c>
      <c r="AB213" s="21">
        <f t="shared" si="7"/>
        <v>278.5</v>
      </c>
      <c r="AC213" s="21">
        <v>150.30000000000001</v>
      </c>
      <c r="AD213" s="21">
        <v>130.30000000000001</v>
      </c>
      <c r="AE213" s="21">
        <v>143.1</v>
      </c>
      <c r="AF213" s="21">
        <v>150.19999999999999</v>
      </c>
      <c r="AG213" s="21">
        <v>161.9</v>
      </c>
      <c r="AH213" s="21">
        <v>140.1</v>
      </c>
      <c r="AI213" s="21">
        <v>142.4</v>
      </c>
    </row>
    <row r="214" spans="1:35" x14ac:dyDescent="0.35">
      <c r="A214" s="21" t="s">
        <v>33</v>
      </c>
      <c r="B214" s="21">
        <v>2018</v>
      </c>
      <c r="C214" s="21" t="s">
        <v>45</v>
      </c>
      <c r="D214" s="17" t="str">
        <f t="shared" si="6"/>
        <v>November-2018</v>
      </c>
      <c r="E214" s="21">
        <v>138.1</v>
      </c>
      <c r="F214" s="21">
        <v>146.30000000000001</v>
      </c>
      <c r="G214" s="21">
        <v>137.80000000000001</v>
      </c>
      <c r="H214" s="21">
        <v>141.6</v>
      </c>
      <c r="I214" s="21">
        <v>118.1</v>
      </c>
      <c r="J214" s="21">
        <v>141.5</v>
      </c>
      <c r="K214" s="21">
        <v>145.19999999999999</v>
      </c>
      <c r="L214" s="21">
        <v>115.3</v>
      </c>
      <c r="M214" s="21">
        <v>112.5</v>
      </c>
      <c r="N214" s="21">
        <v>141.4</v>
      </c>
      <c r="O214" s="21">
        <v>128</v>
      </c>
      <c r="P214" s="21">
        <v>152.6</v>
      </c>
      <c r="Q214" s="21">
        <v>139.1</v>
      </c>
      <c r="R214" s="21">
        <v>1757.4999999999998</v>
      </c>
      <c r="S214" s="21">
        <v>142.4</v>
      </c>
      <c r="T214" s="21">
        <v>130.19999999999999</v>
      </c>
      <c r="U214" s="21">
        <v>140.5</v>
      </c>
      <c r="V214" s="21">
        <v>413.1</v>
      </c>
      <c r="W214" s="21">
        <v>146.9</v>
      </c>
      <c r="X214" s="21">
        <v>135.80000000000001</v>
      </c>
      <c r="Y214" s="21">
        <v>282.70000000000005</v>
      </c>
      <c r="Z214" s="21">
        <v>136.80000000000001</v>
      </c>
      <c r="AA214" s="21">
        <v>130.5</v>
      </c>
      <c r="AB214" s="21">
        <f t="shared" si="7"/>
        <v>267.3</v>
      </c>
      <c r="AC214" s="21">
        <v>136.69999999999999</v>
      </c>
      <c r="AD214" s="21">
        <v>121.2</v>
      </c>
      <c r="AE214" s="21">
        <v>131.30000000000001</v>
      </c>
      <c r="AF214" s="21">
        <v>146.1</v>
      </c>
      <c r="AG214" s="21">
        <v>164.4</v>
      </c>
      <c r="AH214" s="21">
        <v>132.19999999999999</v>
      </c>
      <c r="AI214" s="21">
        <v>139</v>
      </c>
    </row>
    <row r="215" spans="1:35" x14ac:dyDescent="0.35">
      <c r="A215" s="21" t="s">
        <v>34</v>
      </c>
      <c r="B215" s="21">
        <v>2018</v>
      </c>
      <c r="C215" s="21" t="s">
        <v>45</v>
      </c>
      <c r="D215" s="17" t="str">
        <f t="shared" si="6"/>
        <v>November-2018</v>
      </c>
      <c r="E215" s="21">
        <v>137.4</v>
      </c>
      <c r="F215" s="21">
        <v>149.19999999999999</v>
      </c>
      <c r="G215" s="21">
        <v>137.1</v>
      </c>
      <c r="H215" s="21">
        <v>141.80000000000001</v>
      </c>
      <c r="I215" s="21">
        <v>121.1</v>
      </c>
      <c r="J215" s="21">
        <v>142.80000000000001</v>
      </c>
      <c r="K215" s="21">
        <v>146.69999999999999</v>
      </c>
      <c r="L215" s="21">
        <v>119.1</v>
      </c>
      <c r="M215" s="21">
        <v>111.9</v>
      </c>
      <c r="N215" s="21">
        <v>140.9</v>
      </c>
      <c r="O215" s="21">
        <v>133.5</v>
      </c>
      <c r="P215" s="21">
        <v>154.5</v>
      </c>
      <c r="Q215" s="21">
        <v>139.69999999999999</v>
      </c>
      <c r="R215" s="21">
        <v>1775.7000000000003</v>
      </c>
      <c r="S215" s="21">
        <v>148</v>
      </c>
      <c r="T215" s="21">
        <v>139.1</v>
      </c>
      <c r="U215" s="21">
        <v>146.69999999999999</v>
      </c>
      <c r="V215" s="21">
        <v>433.8</v>
      </c>
      <c r="W215" s="21">
        <v>146.9</v>
      </c>
      <c r="X215" s="21">
        <v>142.19999999999999</v>
      </c>
      <c r="Y215" s="21">
        <v>289.10000000000002</v>
      </c>
      <c r="Z215" s="21">
        <v>142.1</v>
      </c>
      <c r="AA215" s="21">
        <v>132</v>
      </c>
      <c r="AB215" s="21">
        <f t="shared" si="7"/>
        <v>274.10000000000002</v>
      </c>
      <c r="AC215" s="21">
        <v>145.1</v>
      </c>
      <c r="AD215" s="21">
        <v>125.5</v>
      </c>
      <c r="AE215" s="21">
        <v>136.5</v>
      </c>
      <c r="AF215" s="21">
        <v>147.80000000000001</v>
      </c>
      <c r="AG215" s="21">
        <v>162.6</v>
      </c>
      <c r="AH215" s="21">
        <v>136.30000000000001</v>
      </c>
      <c r="AI215" s="21">
        <v>140.80000000000001</v>
      </c>
    </row>
    <row r="216" spans="1:35" x14ac:dyDescent="0.35">
      <c r="A216" s="21" t="s">
        <v>30</v>
      </c>
      <c r="B216" s="21">
        <v>2018</v>
      </c>
      <c r="C216" s="21" t="s">
        <v>46</v>
      </c>
      <c r="D216" s="17" t="str">
        <f t="shared" si="6"/>
        <v>December-2018</v>
      </c>
      <c r="E216" s="21">
        <v>137.1</v>
      </c>
      <c r="F216" s="21">
        <v>151.9</v>
      </c>
      <c r="G216" s="21">
        <v>137.4</v>
      </c>
      <c r="H216" s="21">
        <v>142.4</v>
      </c>
      <c r="I216" s="21">
        <v>124.2</v>
      </c>
      <c r="J216" s="21">
        <v>140.19999999999999</v>
      </c>
      <c r="K216" s="21">
        <v>136.6</v>
      </c>
      <c r="L216" s="21">
        <v>120.9</v>
      </c>
      <c r="M216" s="21">
        <v>109.9</v>
      </c>
      <c r="N216" s="21">
        <v>140.19999999999999</v>
      </c>
      <c r="O216" s="21">
        <v>137.80000000000001</v>
      </c>
      <c r="P216" s="21">
        <v>156</v>
      </c>
      <c r="Q216" s="21">
        <v>138.5</v>
      </c>
      <c r="R216" s="21">
        <v>1773.1000000000001</v>
      </c>
      <c r="S216" s="21">
        <v>151.6</v>
      </c>
      <c r="T216" s="21">
        <v>145.9</v>
      </c>
      <c r="U216" s="21">
        <v>150.80000000000001</v>
      </c>
      <c r="V216" s="21">
        <v>448.3</v>
      </c>
      <c r="W216" s="21">
        <v>146.5</v>
      </c>
      <c r="X216" s="21">
        <v>149.5</v>
      </c>
      <c r="Y216" s="21">
        <v>296</v>
      </c>
      <c r="Z216" s="21">
        <v>149.6</v>
      </c>
      <c r="AA216" s="21">
        <v>133.19999999999999</v>
      </c>
      <c r="AB216" s="21">
        <f t="shared" si="7"/>
        <v>282.79999999999995</v>
      </c>
      <c r="AC216" s="21">
        <v>149</v>
      </c>
      <c r="AD216" s="21">
        <v>128.9</v>
      </c>
      <c r="AE216" s="21">
        <v>143.30000000000001</v>
      </c>
      <c r="AF216" s="21">
        <v>155.1</v>
      </c>
      <c r="AG216" s="21">
        <v>162.4</v>
      </c>
      <c r="AH216" s="21">
        <v>141.6</v>
      </c>
      <c r="AI216" s="21">
        <v>141.9</v>
      </c>
    </row>
    <row r="217" spans="1:35" x14ac:dyDescent="0.35">
      <c r="A217" s="21" t="s">
        <v>33</v>
      </c>
      <c r="B217" s="21">
        <v>2018</v>
      </c>
      <c r="C217" s="21" t="s">
        <v>46</v>
      </c>
      <c r="D217" s="17" t="str">
        <f t="shared" si="6"/>
        <v>December-2018</v>
      </c>
      <c r="E217" s="21">
        <v>138.5</v>
      </c>
      <c r="F217" s="21">
        <v>147.80000000000001</v>
      </c>
      <c r="G217" s="21">
        <v>141.1</v>
      </c>
      <c r="H217" s="21">
        <v>141.6</v>
      </c>
      <c r="I217" s="21">
        <v>118.1</v>
      </c>
      <c r="J217" s="21">
        <v>138.5</v>
      </c>
      <c r="K217" s="21">
        <v>132.4</v>
      </c>
      <c r="L217" s="21">
        <v>117.5</v>
      </c>
      <c r="M217" s="21">
        <v>111</v>
      </c>
      <c r="N217" s="21">
        <v>141.5</v>
      </c>
      <c r="O217" s="21">
        <v>128.1</v>
      </c>
      <c r="P217" s="21">
        <v>152.9</v>
      </c>
      <c r="Q217" s="21">
        <v>137.6</v>
      </c>
      <c r="R217" s="21">
        <v>1746.6</v>
      </c>
      <c r="S217" s="21">
        <v>142.69999999999999</v>
      </c>
      <c r="T217" s="21">
        <v>130.30000000000001</v>
      </c>
      <c r="U217" s="21">
        <v>140.80000000000001</v>
      </c>
      <c r="V217" s="21">
        <v>413.8</v>
      </c>
      <c r="W217" s="21">
        <v>146.5</v>
      </c>
      <c r="X217" s="21">
        <v>136.19999999999999</v>
      </c>
      <c r="Y217" s="21">
        <v>282.7</v>
      </c>
      <c r="Z217" s="21">
        <v>137.30000000000001</v>
      </c>
      <c r="AA217" s="21">
        <v>130.80000000000001</v>
      </c>
      <c r="AB217" s="21">
        <f t="shared" si="7"/>
        <v>268.10000000000002</v>
      </c>
      <c r="AC217" s="21">
        <v>132.4</v>
      </c>
      <c r="AD217" s="21">
        <v>118.8</v>
      </c>
      <c r="AE217" s="21">
        <v>131.69999999999999</v>
      </c>
      <c r="AF217" s="21">
        <v>146.5</v>
      </c>
      <c r="AG217" s="21">
        <v>164.6</v>
      </c>
      <c r="AH217" s="21">
        <v>131.69999999999999</v>
      </c>
      <c r="AI217" s="21">
        <v>138</v>
      </c>
    </row>
    <row r="218" spans="1:35" x14ac:dyDescent="0.35">
      <c r="A218" s="21" t="s">
        <v>34</v>
      </c>
      <c r="B218" s="21">
        <v>2018</v>
      </c>
      <c r="C218" s="21" t="s">
        <v>46</v>
      </c>
      <c r="D218" s="17" t="str">
        <f t="shared" si="6"/>
        <v>December-2018</v>
      </c>
      <c r="E218" s="21">
        <v>137.5</v>
      </c>
      <c r="F218" s="21">
        <v>150.5</v>
      </c>
      <c r="G218" s="21">
        <v>138.80000000000001</v>
      </c>
      <c r="H218" s="21">
        <v>142.1</v>
      </c>
      <c r="I218" s="21">
        <v>122</v>
      </c>
      <c r="J218" s="21">
        <v>139.4</v>
      </c>
      <c r="K218" s="21">
        <v>135.19999999999999</v>
      </c>
      <c r="L218" s="21">
        <v>119.8</v>
      </c>
      <c r="M218" s="21">
        <v>110.3</v>
      </c>
      <c r="N218" s="21">
        <v>140.6</v>
      </c>
      <c r="O218" s="21">
        <v>133.80000000000001</v>
      </c>
      <c r="P218" s="21">
        <v>154.6</v>
      </c>
      <c r="Q218" s="21">
        <v>138.19999999999999</v>
      </c>
      <c r="R218" s="21">
        <v>1762.7999999999997</v>
      </c>
      <c r="S218" s="21">
        <v>148.1</v>
      </c>
      <c r="T218" s="21">
        <v>139.4</v>
      </c>
      <c r="U218" s="21">
        <v>146.80000000000001</v>
      </c>
      <c r="V218" s="21">
        <v>434.3</v>
      </c>
      <c r="W218" s="21">
        <v>146.5</v>
      </c>
      <c r="X218" s="21">
        <v>143.19999999999999</v>
      </c>
      <c r="Y218" s="21">
        <v>289.7</v>
      </c>
      <c r="Z218" s="21">
        <v>144.9</v>
      </c>
      <c r="AA218" s="21">
        <v>132.19999999999999</v>
      </c>
      <c r="AB218" s="21">
        <f t="shared" si="7"/>
        <v>277.10000000000002</v>
      </c>
      <c r="AC218" s="21">
        <v>142.69999999999999</v>
      </c>
      <c r="AD218" s="21">
        <v>123.6</v>
      </c>
      <c r="AE218" s="21">
        <v>136.80000000000001</v>
      </c>
      <c r="AF218" s="21">
        <v>150.1</v>
      </c>
      <c r="AG218" s="21">
        <v>163</v>
      </c>
      <c r="AH218" s="21">
        <v>136.80000000000001</v>
      </c>
      <c r="AI218" s="21">
        <v>140.1</v>
      </c>
    </row>
    <row r="219" spans="1:35" x14ac:dyDescent="0.35">
      <c r="A219" s="21" t="s">
        <v>30</v>
      </c>
      <c r="B219" s="21">
        <v>2019</v>
      </c>
      <c r="C219" s="21" t="s">
        <v>31</v>
      </c>
      <c r="D219" s="17" t="str">
        <f t="shared" si="6"/>
        <v>January-2019</v>
      </c>
      <c r="E219" s="21">
        <v>136.6</v>
      </c>
      <c r="F219" s="21">
        <v>152.5</v>
      </c>
      <c r="G219" s="21">
        <v>138.19999999999999</v>
      </c>
      <c r="H219" s="21">
        <v>142.4</v>
      </c>
      <c r="I219" s="21">
        <v>123.9</v>
      </c>
      <c r="J219" s="21">
        <v>135.5</v>
      </c>
      <c r="K219" s="21">
        <v>131.69999999999999</v>
      </c>
      <c r="L219" s="21">
        <v>121.3</v>
      </c>
      <c r="M219" s="21">
        <v>108.4</v>
      </c>
      <c r="N219" s="21">
        <v>138.9</v>
      </c>
      <c r="O219" s="21">
        <v>137</v>
      </c>
      <c r="P219" s="21">
        <v>155.80000000000001</v>
      </c>
      <c r="Q219" s="21">
        <v>137.4</v>
      </c>
      <c r="R219" s="21">
        <v>1759.6000000000001</v>
      </c>
      <c r="S219" s="21">
        <v>150.6</v>
      </c>
      <c r="T219" s="21">
        <v>145.1</v>
      </c>
      <c r="U219" s="21">
        <v>149.9</v>
      </c>
      <c r="V219" s="21">
        <v>445.6</v>
      </c>
      <c r="W219" s="21">
        <v>147.69999999999999</v>
      </c>
      <c r="X219" s="21">
        <v>150.1</v>
      </c>
      <c r="Y219" s="21">
        <v>297.79999999999995</v>
      </c>
      <c r="Z219" s="21">
        <v>149.6</v>
      </c>
      <c r="AA219" s="21">
        <v>133.5</v>
      </c>
      <c r="AB219" s="21">
        <f t="shared" si="7"/>
        <v>283.10000000000002</v>
      </c>
      <c r="AC219" s="21">
        <v>146.19999999999999</v>
      </c>
      <c r="AD219" s="21">
        <v>128.6</v>
      </c>
      <c r="AE219" s="21">
        <v>142.9</v>
      </c>
      <c r="AF219" s="21">
        <v>155.19999999999999</v>
      </c>
      <c r="AG219" s="21">
        <v>162.69999999999999</v>
      </c>
      <c r="AH219" s="21">
        <v>141.69999999999999</v>
      </c>
      <c r="AI219" s="21">
        <v>141</v>
      </c>
    </row>
    <row r="220" spans="1:35" x14ac:dyDescent="0.35">
      <c r="A220" s="21" t="s">
        <v>33</v>
      </c>
      <c r="B220" s="21">
        <v>2019</v>
      </c>
      <c r="C220" s="21" t="s">
        <v>31</v>
      </c>
      <c r="D220" s="17" t="str">
        <f t="shared" si="6"/>
        <v>January-2019</v>
      </c>
      <c r="E220" s="21">
        <v>138.30000000000001</v>
      </c>
      <c r="F220" s="21">
        <v>149.4</v>
      </c>
      <c r="G220" s="21">
        <v>143.5</v>
      </c>
      <c r="H220" s="21">
        <v>141.69999999999999</v>
      </c>
      <c r="I220" s="21">
        <v>118.1</v>
      </c>
      <c r="J220" s="21">
        <v>135.19999999999999</v>
      </c>
      <c r="K220" s="21">
        <v>130.5</v>
      </c>
      <c r="L220" s="21">
        <v>118.2</v>
      </c>
      <c r="M220" s="21">
        <v>110.4</v>
      </c>
      <c r="N220" s="21">
        <v>140.4</v>
      </c>
      <c r="O220" s="21">
        <v>128.1</v>
      </c>
      <c r="P220" s="21">
        <v>153.19999999999999</v>
      </c>
      <c r="Q220" s="21">
        <v>137.30000000000001</v>
      </c>
      <c r="R220" s="21">
        <v>1744.3000000000002</v>
      </c>
      <c r="S220" s="21">
        <v>143</v>
      </c>
      <c r="T220" s="21">
        <v>130.4</v>
      </c>
      <c r="U220" s="21">
        <v>141.1</v>
      </c>
      <c r="V220" s="21">
        <v>414.5</v>
      </c>
      <c r="W220" s="21">
        <v>147.69999999999999</v>
      </c>
      <c r="X220" s="21">
        <v>136.30000000000001</v>
      </c>
      <c r="Y220" s="21">
        <v>284</v>
      </c>
      <c r="Z220" s="21">
        <v>137.80000000000001</v>
      </c>
      <c r="AA220" s="21">
        <v>131.69999999999999</v>
      </c>
      <c r="AB220" s="21">
        <f t="shared" si="7"/>
        <v>269.5</v>
      </c>
      <c r="AC220" s="21">
        <v>128.6</v>
      </c>
      <c r="AD220" s="21">
        <v>118.6</v>
      </c>
      <c r="AE220" s="21">
        <v>131.9</v>
      </c>
      <c r="AF220" s="21">
        <v>146.6</v>
      </c>
      <c r="AG220" s="21">
        <v>164.7</v>
      </c>
      <c r="AH220" s="21">
        <v>131.80000000000001</v>
      </c>
      <c r="AI220" s="21">
        <v>138</v>
      </c>
    </row>
    <row r="221" spans="1:35" x14ac:dyDescent="0.35">
      <c r="A221" s="21" t="s">
        <v>34</v>
      </c>
      <c r="B221" s="21">
        <v>2019</v>
      </c>
      <c r="C221" s="21" t="s">
        <v>31</v>
      </c>
      <c r="D221" s="17" t="str">
        <f t="shared" si="6"/>
        <v>January-2019</v>
      </c>
      <c r="E221" s="21">
        <v>137.1</v>
      </c>
      <c r="F221" s="21">
        <v>151.4</v>
      </c>
      <c r="G221" s="21">
        <v>140.19999999999999</v>
      </c>
      <c r="H221" s="21">
        <v>142.1</v>
      </c>
      <c r="I221" s="21">
        <v>121.8</v>
      </c>
      <c r="J221" s="21">
        <v>135.4</v>
      </c>
      <c r="K221" s="21">
        <v>131.30000000000001</v>
      </c>
      <c r="L221" s="21">
        <v>120.3</v>
      </c>
      <c r="M221" s="21">
        <v>109.1</v>
      </c>
      <c r="N221" s="21">
        <v>139.4</v>
      </c>
      <c r="O221" s="21">
        <v>133.30000000000001</v>
      </c>
      <c r="P221" s="21">
        <v>154.6</v>
      </c>
      <c r="Q221" s="21">
        <v>137.4</v>
      </c>
      <c r="R221" s="21">
        <v>1753.3999999999999</v>
      </c>
      <c r="S221" s="21">
        <v>147.6</v>
      </c>
      <c r="T221" s="21">
        <v>139</v>
      </c>
      <c r="U221" s="21">
        <v>146.4</v>
      </c>
      <c r="V221" s="21">
        <v>433</v>
      </c>
      <c r="W221" s="21">
        <v>147.69999999999999</v>
      </c>
      <c r="X221" s="21">
        <v>143.6</v>
      </c>
      <c r="Y221" s="21">
        <v>291.29999999999995</v>
      </c>
      <c r="Z221" s="21">
        <v>145.1</v>
      </c>
      <c r="AA221" s="21">
        <v>132.80000000000001</v>
      </c>
      <c r="AB221" s="21">
        <f t="shared" si="7"/>
        <v>277.89999999999998</v>
      </c>
      <c r="AC221" s="21">
        <v>139.5</v>
      </c>
      <c r="AD221" s="21">
        <v>123.3</v>
      </c>
      <c r="AE221" s="21">
        <v>136.69999999999999</v>
      </c>
      <c r="AF221" s="21">
        <v>150.19999999999999</v>
      </c>
      <c r="AG221" s="21">
        <v>163.19999999999999</v>
      </c>
      <c r="AH221" s="21">
        <v>136.9</v>
      </c>
      <c r="AI221" s="21">
        <v>139.6</v>
      </c>
    </row>
    <row r="222" spans="1:35" x14ac:dyDescent="0.35">
      <c r="A222" s="21" t="s">
        <v>30</v>
      </c>
      <c r="B222" s="21">
        <v>2019</v>
      </c>
      <c r="C222" s="21" t="s">
        <v>35</v>
      </c>
      <c r="D222" s="17" t="str">
        <f t="shared" si="6"/>
        <v>February-2019</v>
      </c>
      <c r="E222" s="21">
        <v>136.80000000000001</v>
      </c>
      <c r="F222" s="21">
        <v>153</v>
      </c>
      <c r="G222" s="21">
        <v>139.1</v>
      </c>
      <c r="H222" s="21">
        <v>142.5</v>
      </c>
      <c r="I222" s="21">
        <v>124.1</v>
      </c>
      <c r="J222" s="21">
        <v>135.80000000000001</v>
      </c>
      <c r="K222" s="21">
        <v>128.69999999999999</v>
      </c>
      <c r="L222" s="21">
        <v>121.5</v>
      </c>
      <c r="M222" s="21">
        <v>108.3</v>
      </c>
      <c r="N222" s="21">
        <v>139.19999999999999</v>
      </c>
      <c r="O222" s="21">
        <v>137.4</v>
      </c>
      <c r="P222" s="21">
        <v>156.19999999999999</v>
      </c>
      <c r="Q222" s="21">
        <v>137.19999999999999</v>
      </c>
      <c r="R222" s="21">
        <v>1759.8000000000002</v>
      </c>
      <c r="S222" s="21">
        <v>150.5</v>
      </c>
      <c r="T222" s="21">
        <v>146.1</v>
      </c>
      <c r="U222" s="21">
        <v>149.9</v>
      </c>
      <c r="V222" s="21">
        <v>446.5</v>
      </c>
      <c r="W222" s="21">
        <v>148.5</v>
      </c>
      <c r="X222" s="21">
        <v>150.1</v>
      </c>
      <c r="Y222" s="21">
        <v>298.60000000000002</v>
      </c>
      <c r="Z222" s="21">
        <v>149.9</v>
      </c>
      <c r="AA222" s="21">
        <v>134.9</v>
      </c>
      <c r="AB222" s="21">
        <f t="shared" si="7"/>
        <v>284.8</v>
      </c>
      <c r="AC222" s="21">
        <v>145.30000000000001</v>
      </c>
      <c r="AD222" s="21">
        <v>129.19999999999999</v>
      </c>
      <c r="AE222" s="21">
        <v>143.4</v>
      </c>
      <c r="AF222" s="21">
        <v>155.5</v>
      </c>
      <c r="AG222" s="21">
        <v>162.80000000000001</v>
      </c>
      <c r="AH222" s="21">
        <v>142.19999999999999</v>
      </c>
      <c r="AI222" s="21">
        <v>141</v>
      </c>
    </row>
    <row r="223" spans="1:35" x14ac:dyDescent="0.35">
      <c r="A223" s="21" t="s">
        <v>33</v>
      </c>
      <c r="B223" s="21">
        <v>2019</v>
      </c>
      <c r="C223" s="21" t="s">
        <v>35</v>
      </c>
      <c r="D223" s="17" t="str">
        <f t="shared" si="6"/>
        <v>February-2019</v>
      </c>
      <c r="E223" s="21">
        <v>139.4</v>
      </c>
      <c r="F223" s="21">
        <v>150.1</v>
      </c>
      <c r="G223" s="21">
        <v>145.30000000000001</v>
      </c>
      <c r="H223" s="21">
        <v>141.69999999999999</v>
      </c>
      <c r="I223" s="21">
        <v>118.4</v>
      </c>
      <c r="J223" s="21">
        <v>137</v>
      </c>
      <c r="K223" s="21">
        <v>131.6</v>
      </c>
      <c r="L223" s="21">
        <v>119.9</v>
      </c>
      <c r="M223" s="21">
        <v>110.4</v>
      </c>
      <c r="N223" s="21">
        <v>140.80000000000001</v>
      </c>
      <c r="O223" s="21">
        <v>128.30000000000001</v>
      </c>
      <c r="P223" s="21">
        <v>153.5</v>
      </c>
      <c r="Q223" s="21">
        <v>138</v>
      </c>
      <c r="R223" s="21">
        <v>1754.4</v>
      </c>
      <c r="S223" s="21">
        <v>143.30000000000001</v>
      </c>
      <c r="T223" s="21">
        <v>130.80000000000001</v>
      </c>
      <c r="U223" s="21">
        <v>141.4</v>
      </c>
      <c r="V223" s="21">
        <v>415.5</v>
      </c>
      <c r="W223" s="21">
        <v>148.5</v>
      </c>
      <c r="X223" s="21">
        <v>136.6</v>
      </c>
      <c r="Y223" s="21">
        <v>285.10000000000002</v>
      </c>
      <c r="Z223" s="21">
        <v>138.5</v>
      </c>
      <c r="AA223" s="21">
        <v>133</v>
      </c>
      <c r="AB223" s="21">
        <f t="shared" si="7"/>
        <v>271.5</v>
      </c>
      <c r="AC223" s="21">
        <v>127.1</v>
      </c>
      <c r="AD223" s="21">
        <v>119.2</v>
      </c>
      <c r="AE223" s="21">
        <v>132.19999999999999</v>
      </c>
      <c r="AF223" s="21">
        <v>146.6</v>
      </c>
      <c r="AG223" s="21">
        <v>164.9</v>
      </c>
      <c r="AH223" s="21">
        <v>132.4</v>
      </c>
      <c r="AI223" s="21">
        <v>138.6</v>
      </c>
    </row>
    <row r="224" spans="1:35" x14ac:dyDescent="0.35">
      <c r="A224" s="21" t="s">
        <v>34</v>
      </c>
      <c r="B224" s="21">
        <v>2019</v>
      </c>
      <c r="C224" s="21" t="s">
        <v>35</v>
      </c>
      <c r="D224" s="17" t="str">
        <f t="shared" si="6"/>
        <v>February-2019</v>
      </c>
      <c r="E224" s="21">
        <v>137.6</v>
      </c>
      <c r="F224" s="21">
        <v>152</v>
      </c>
      <c r="G224" s="21">
        <v>141.5</v>
      </c>
      <c r="H224" s="21">
        <v>142.19999999999999</v>
      </c>
      <c r="I224" s="21">
        <v>122</v>
      </c>
      <c r="J224" s="21">
        <v>136.4</v>
      </c>
      <c r="K224" s="21">
        <v>129.69999999999999</v>
      </c>
      <c r="L224" s="21">
        <v>121</v>
      </c>
      <c r="M224" s="21">
        <v>109</v>
      </c>
      <c r="N224" s="21">
        <v>139.69999999999999</v>
      </c>
      <c r="O224" s="21">
        <v>133.6</v>
      </c>
      <c r="P224" s="21">
        <v>154.9</v>
      </c>
      <c r="Q224" s="21">
        <v>137.5</v>
      </c>
      <c r="R224" s="21">
        <v>1757.1</v>
      </c>
      <c r="S224" s="21">
        <v>147.69999999999999</v>
      </c>
      <c r="T224" s="21">
        <v>139.69999999999999</v>
      </c>
      <c r="U224" s="21">
        <v>146.5</v>
      </c>
      <c r="V224" s="21">
        <v>433.9</v>
      </c>
      <c r="W224" s="21">
        <v>148.5</v>
      </c>
      <c r="X224" s="21">
        <v>143.69999999999999</v>
      </c>
      <c r="Y224" s="21">
        <v>292.2</v>
      </c>
      <c r="Z224" s="21">
        <v>145.6</v>
      </c>
      <c r="AA224" s="21">
        <v>134.1</v>
      </c>
      <c r="AB224" s="21">
        <f t="shared" si="7"/>
        <v>279.7</v>
      </c>
      <c r="AC224" s="21">
        <v>138.4</v>
      </c>
      <c r="AD224" s="21">
        <v>123.9</v>
      </c>
      <c r="AE224" s="21">
        <v>137.1</v>
      </c>
      <c r="AF224" s="21">
        <v>150.30000000000001</v>
      </c>
      <c r="AG224" s="21">
        <v>163.4</v>
      </c>
      <c r="AH224" s="21">
        <v>137.4</v>
      </c>
      <c r="AI224" s="21">
        <v>139.9</v>
      </c>
    </row>
    <row r="225" spans="1:35" x14ac:dyDescent="0.35">
      <c r="A225" s="21" t="s">
        <v>30</v>
      </c>
      <c r="B225" s="21">
        <v>2019</v>
      </c>
      <c r="C225" s="21" t="s">
        <v>36</v>
      </c>
      <c r="D225" s="17" t="str">
        <f t="shared" si="6"/>
        <v>March-2019</v>
      </c>
      <c r="E225" s="21">
        <v>136.9</v>
      </c>
      <c r="F225" s="21">
        <v>154.1</v>
      </c>
      <c r="G225" s="21">
        <v>138.69999999999999</v>
      </c>
      <c r="H225" s="21">
        <v>142.5</v>
      </c>
      <c r="I225" s="21">
        <v>124.1</v>
      </c>
      <c r="J225" s="21">
        <v>136.1</v>
      </c>
      <c r="K225" s="21">
        <v>128.19999999999999</v>
      </c>
      <c r="L225" s="21">
        <v>122.3</v>
      </c>
      <c r="M225" s="21">
        <v>108.3</v>
      </c>
      <c r="N225" s="21">
        <v>138.9</v>
      </c>
      <c r="O225" s="21">
        <v>137.4</v>
      </c>
      <c r="P225" s="21">
        <v>156.4</v>
      </c>
      <c r="Q225" s="21">
        <v>137.30000000000001</v>
      </c>
      <c r="R225" s="21">
        <v>1761.2000000000003</v>
      </c>
      <c r="S225" s="21">
        <v>150.80000000000001</v>
      </c>
      <c r="T225" s="21">
        <v>146.1</v>
      </c>
      <c r="U225" s="21">
        <v>150.1</v>
      </c>
      <c r="V225" s="21">
        <v>447</v>
      </c>
      <c r="W225" s="21">
        <v>149</v>
      </c>
      <c r="X225" s="21">
        <v>150</v>
      </c>
      <c r="Y225" s="21">
        <v>299</v>
      </c>
      <c r="Z225" s="21">
        <v>150.4</v>
      </c>
      <c r="AA225" s="21">
        <v>134</v>
      </c>
      <c r="AB225" s="21">
        <f t="shared" si="7"/>
        <v>284.39999999999998</v>
      </c>
      <c r="AC225" s="21">
        <v>146.4</v>
      </c>
      <c r="AD225" s="21">
        <v>129.9</v>
      </c>
      <c r="AE225" s="21">
        <v>143.80000000000001</v>
      </c>
      <c r="AF225" s="21">
        <v>155.5</v>
      </c>
      <c r="AG225" s="21">
        <v>162.9</v>
      </c>
      <c r="AH225" s="21">
        <v>142.4</v>
      </c>
      <c r="AI225" s="21">
        <v>141.19999999999999</v>
      </c>
    </row>
    <row r="226" spans="1:35" x14ac:dyDescent="0.35">
      <c r="A226" s="21" t="s">
        <v>33</v>
      </c>
      <c r="B226" s="21">
        <v>2019</v>
      </c>
      <c r="C226" s="21" t="s">
        <v>36</v>
      </c>
      <c r="D226" s="17" t="str">
        <f t="shared" si="6"/>
        <v>March-2019</v>
      </c>
      <c r="E226" s="21">
        <v>139.69999999999999</v>
      </c>
      <c r="F226" s="21">
        <v>151.1</v>
      </c>
      <c r="G226" s="21">
        <v>142.9</v>
      </c>
      <c r="H226" s="21">
        <v>141.9</v>
      </c>
      <c r="I226" s="21">
        <v>118.4</v>
      </c>
      <c r="J226" s="21">
        <v>139.4</v>
      </c>
      <c r="K226" s="21">
        <v>141.19999999999999</v>
      </c>
      <c r="L226" s="21">
        <v>120.7</v>
      </c>
      <c r="M226" s="21">
        <v>110.4</v>
      </c>
      <c r="N226" s="21">
        <v>140.69999999999999</v>
      </c>
      <c r="O226" s="21">
        <v>128.5</v>
      </c>
      <c r="P226" s="21">
        <v>153.9</v>
      </c>
      <c r="Q226" s="21">
        <v>139.6</v>
      </c>
      <c r="R226" s="21">
        <v>1768.4</v>
      </c>
      <c r="S226" s="21">
        <v>143.5</v>
      </c>
      <c r="T226" s="21">
        <v>131.19999999999999</v>
      </c>
      <c r="U226" s="21">
        <v>141.6</v>
      </c>
      <c r="V226" s="21">
        <v>416.29999999999995</v>
      </c>
      <c r="W226" s="21">
        <v>149</v>
      </c>
      <c r="X226" s="21">
        <v>136.80000000000001</v>
      </c>
      <c r="Y226" s="21">
        <v>285.8</v>
      </c>
      <c r="Z226" s="21">
        <v>139.19999999999999</v>
      </c>
      <c r="AA226" s="21">
        <v>132.5</v>
      </c>
      <c r="AB226" s="21">
        <f t="shared" si="7"/>
        <v>271.7</v>
      </c>
      <c r="AC226" s="21">
        <v>128.80000000000001</v>
      </c>
      <c r="AD226" s="21">
        <v>119.9</v>
      </c>
      <c r="AE226" s="21">
        <v>133</v>
      </c>
      <c r="AF226" s="21">
        <v>146.69999999999999</v>
      </c>
      <c r="AG226" s="21">
        <v>165.3</v>
      </c>
      <c r="AH226" s="21">
        <v>132.80000000000001</v>
      </c>
      <c r="AI226" s="21">
        <v>139.5</v>
      </c>
    </row>
    <row r="227" spans="1:35" x14ac:dyDescent="0.35">
      <c r="A227" s="21" t="s">
        <v>34</v>
      </c>
      <c r="B227" s="21">
        <v>2019</v>
      </c>
      <c r="C227" s="21" t="s">
        <v>36</v>
      </c>
      <c r="D227" s="17" t="str">
        <f t="shared" si="6"/>
        <v>March-2019</v>
      </c>
      <c r="E227" s="21">
        <v>137.80000000000001</v>
      </c>
      <c r="F227" s="21">
        <v>153</v>
      </c>
      <c r="G227" s="21">
        <v>140.30000000000001</v>
      </c>
      <c r="H227" s="21">
        <v>142.30000000000001</v>
      </c>
      <c r="I227" s="21">
        <v>122</v>
      </c>
      <c r="J227" s="21">
        <v>137.6</v>
      </c>
      <c r="K227" s="21">
        <v>132.6</v>
      </c>
      <c r="L227" s="21">
        <v>121.8</v>
      </c>
      <c r="M227" s="21">
        <v>109</v>
      </c>
      <c r="N227" s="21">
        <v>139.5</v>
      </c>
      <c r="O227" s="21">
        <v>133.69999999999999</v>
      </c>
      <c r="P227" s="21">
        <v>155.19999999999999</v>
      </c>
      <c r="Q227" s="21">
        <v>138.1</v>
      </c>
      <c r="R227" s="21">
        <v>1762.9</v>
      </c>
      <c r="S227" s="21">
        <v>147.9</v>
      </c>
      <c r="T227" s="21">
        <v>139.9</v>
      </c>
      <c r="U227" s="21">
        <v>146.69999999999999</v>
      </c>
      <c r="V227" s="21">
        <v>434.5</v>
      </c>
      <c r="W227" s="21">
        <v>149</v>
      </c>
      <c r="X227" s="21">
        <v>143.80000000000001</v>
      </c>
      <c r="Y227" s="21">
        <v>292.8</v>
      </c>
      <c r="Z227" s="21">
        <v>146.19999999999999</v>
      </c>
      <c r="AA227" s="21">
        <v>133.4</v>
      </c>
      <c r="AB227" s="21">
        <f t="shared" si="7"/>
        <v>279.60000000000002</v>
      </c>
      <c r="AC227" s="21">
        <v>139.69999999999999</v>
      </c>
      <c r="AD227" s="21">
        <v>124.6</v>
      </c>
      <c r="AE227" s="21">
        <v>137.69999999999999</v>
      </c>
      <c r="AF227" s="21">
        <v>150.30000000000001</v>
      </c>
      <c r="AG227" s="21">
        <v>163.5</v>
      </c>
      <c r="AH227" s="21">
        <v>137.69999999999999</v>
      </c>
      <c r="AI227" s="21">
        <v>140.4</v>
      </c>
    </row>
    <row r="228" spans="1:35" x14ac:dyDescent="0.35">
      <c r="A228" s="21" t="s">
        <v>30</v>
      </c>
      <c r="B228" s="21">
        <v>2019</v>
      </c>
      <c r="C228" s="21" t="s">
        <v>38</v>
      </c>
      <c r="D228" s="17" t="str">
        <f t="shared" si="6"/>
        <v>May-2019</v>
      </c>
      <c r="E228" s="21">
        <v>137.4</v>
      </c>
      <c r="F228" s="21">
        <v>159.5</v>
      </c>
      <c r="G228" s="21">
        <v>134.5</v>
      </c>
      <c r="H228" s="21">
        <v>142.6</v>
      </c>
      <c r="I228" s="21">
        <v>124</v>
      </c>
      <c r="J228" s="21">
        <v>143.69999999999999</v>
      </c>
      <c r="K228" s="21">
        <v>133.4</v>
      </c>
      <c r="L228" s="21">
        <v>125.1</v>
      </c>
      <c r="M228" s="21">
        <v>109.3</v>
      </c>
      <c r="N228" s="21">
        <v>139.30000000000001</v>
      </c>
      <c r="O228" s="21">
        <v>137.69999999999999</v>
      </c>
      <c r="P228" s="21">
        <v>156.4</v>
      </c>
      <c r="Q228" s="21">
        <v>139.19999999999999</v>
      </c>
      <c r="R228" s="21">
        <v>1782.1000000000001</v>
      </c>
      <c r="S228" s="21">
        <v>151.30000000000001</v>
      </c>
      <c r="T228" s="21">
        <v>146.6</v>
      </c>
      <c r="U228" s="21">
        <v>150.69999999999999</v>
      </c>
      <c r="V228" s="21">
        <v>448.59999999999997</v>
      </c>
      <c r="W228" s="21">
        <v>150.1</v>
      </c>
      <c r="X228" s="21">
        <v>149.5</v>
      </c>
      <c r="Y228" s="21">
        <v>299.60000000000002</v>
      </c>
      <c r="Z228" s="21">
        <v>151.30000000000001</v>
      </c>
      <c r="AA228" s="21">
        <v>133.9</v>
      </c>
      <c r="AB228" s="21">
        <f t="shared" si="7"/>
        <v>285.20000000000005</v>
      </c>
      <c r="AC228" s="21">
        <v>146.9</v>
      </c>
      <c r="AD228" s="21">
        <v>130.19999999999999</v>
      </c>
      <c r="AE228" s="21">
        <v>145.9</v>
      </c>
      <c r="AF228" s="21">
        <v>156.69999999999999</v>
      </c>
      <c r="AG228" s="21">
        <v>163.30000000000001</v>
      </c>
      <c r="AH228" s="21">
        <v>142.9</v>
      </c>
      <c r="AI228" s="21">
        <v>142.4</v>
      </c>
    </row>
    <row r="229" spans="1:35" x14ac:dyDescent="0.35">
      <c r="A229" s="21" t="s">
        <v>33</v>
      </c>
      <c r="B229" s="21">
        <v>2019</v>
      </c>
      <c r="C229" s="21" t="s">
        <v>38</v>
      </c>
      <c r="D229" s="17" t="str">
        <f t="shared" si="6"/>
        <v>May-2019</v>
      </c>
      <c r="E229" s="21">
        <v>140.4</v>
      </c>
      <c r="F229" s="21">
        <v>156.69999999999999</v>
      </c>
      <c r="G229" s="21">
        <v>138.30000000000001</v>
      </c>
      <c r="H229" s="21">
        <v>142.4</v>
      </c>
      <c r="I229" s="21">
        <v>118.6</v>
      </c>
      <c r="J229" s="21">
        <v>149.69999999999999</v>
      </c>
      <c r="K229" s="21">
        <v>161.6</v>
      </c>
      <c r="L229" s="21">
        <v>124.4</v>
      </c>
      <c r="M229" s="21">
        <v>111.2</v>
      </c>
      <c r="N229" s="21">
        <v>141</v>
      </c>
      <c r="O229" s="21">
        <v>128.9</v>
      </c>
      <c r="P229" s="21">
        <v>154.5</v>
      </c>
      <c r="Q229" s="21">
        <v>143.80000000000001</v>
      </c>
      <c r="R229" s="21">
        <v>1811.5000000000002</v>
      </c>
      <c r="S229" s="21">
        <v>144</v>
      </c>
      <c r="T229" s="21">
        <v>131.69999999999999</v>
      </c>
      <c r="U229" s="21">
        <v>142.19999999999999</v>
      </c>
      <c r="V229" s="21">
        <v>417.9</v>
      </c>
      <c r="W229" s="21">
        <v>150.1</v>
      </c>
      <c r="X229" s="21">
        <v>137.19999999999999</v>
      </c>
      <c r="Y229" s="21">
        <v>287.29999999999995</v>
      </c>
      <c r="Z229" s="21">
        <v>139.80000000000001</v>
      </c>
      <c r="AA229" s="21">
        <v>132.6</v>
      </c>
      <c r="AB229" s="21">
        <f t="shared" si="7"/>
        <v>272.39999999999998</v>
      </c>
      <c r="AC229" s="21">
        <v>129.4</v>
      </c>
      <c r="AD229" s="21">
        <v>120.1</v>
      </c>
      <c r="AE229" s="21">
        <v>134</v>
      </c>
      <c r="AF229" s="21">
        <v>148</v>
      </c>
      <c r="AG229" s="21">
        <v>166.2</v>
      </c>
      <c r="AH229" s="21">
        <v>133.30000000000001</v>
      </c>
      <c r="AI229" s="21">
        <v>141.5</v>
      </c>
    </row>
    <row r="230" spans="1:35" x14ac:dyDescent="0.35">
      <c r="A230" s="21" t="s">
        <v>34</v>
      </c>
      <c r="B230" s="21">
        <v>2019</v>
      </c>
      <c r="C230" s="21" t="s">
        <v>38</v>
      </c>
      <c r="D230" s="17" t="str">
        <f t="shared" si="6"/>
        <v>May-2019</v>
      </c>
      <c r="E230" s="21">
        <v>138.30000000000001</v>
      </c>
      <c r="F230" s="21">
        <v>158.5</v>
      </c>
      <c r="G230" s="21">
        <v>136</v>
      </c>
      <c r="H230" s="21">
        <v>142.5</v>
      </c>
      <c r="I230" s="21">
        <v>122</v>
      </c>
      <c r="J230" s="21">
        <v>146.5</v>
      </c>
      <c r="K230" s="21">
        <v>143</v>
      </c>
      <c r="L230" s="21">
        <v>124.9</v>
      </c>
      <c r="M230" s="21">
        <v>109.9</v>
      </c>
      <c r="N230" s="21">
        <v>139.9</v>
      </c>
      <c r="O230" s="21">
        <v>134</v>
      </c>
      <c r="P230" s="21">
        <v>155.5</v>
      </c>
      <c r="Q230" s="21">
        <v>140.9</v>
      </c>
      <c r="R230" s="21">
        <v>1791.9000000000003</v>
      </c>
      <c r="S230" s="21">
        <v>148.4</v>
      </c>
      <c r="T230" s="21">
        <v>140.4</v>
      </c>
      <c r="U230" s="21">
        <v>147.30000000000001</v>
      </c>
      <c r="V230" s="21">
        <v>436.1</v>
      </c>
      <c r="W230" s="21">
        <v>150.1</v>
      </c>
      <c r="X230" s="21">
        <v>143.69999999999999</v>
      </c>
      <c r="Y230" s="21">
        <v>293.79999999999995</v>
      </c>
      <c r="Z230" s="21">
        <v>146.9</v>
      </c>
      <c r="AA230" s="21">
        <v>133.4</v>
      </c>
      <c r="AB230" s="21">
        <f t="shared" si="7"/>
        <v>280.3</v>
      </c>
      <c r="AC230" s="21">
        <v>140.30000000000001</v>
      </c>
      <c r="AD230" s="21">
        <v>124.9</v>
      </c>
      <c r="AE230" s="21">
        <v>139.19999999999999</v>
      </c>
      <c r="AF230" s="21">
        <v>151.6</v>
      </c>
      <c r="AG230" s="21">
        <v>164.1</v>
      </c>
      <c r="AH230" s="21">
        <v>138.19999999999999</v>
      </c>
      <c r="AI230" s="21">
        <v>142</v>
      </c>
    </row>
    <row r="231" spans="1:35" x14ac:dyDescent="0.35">
      <c r="A231" s="21" t="s">
        <v>30</v>
      </c>
      <c r="B231" s="21">
        <v>2019</v>
      </c>
      <c r="C231" s="21" t="s">
        <v>39</v>
      </c>
      <c r="D231" s="17" t="str">
        <f t="shared" si="6"/>
        <v>June-2019</v>
      </c>
      <c r="E231" s="21">
        <v>137.80000000000001</v>
      </c>
      <c r="F231" s="21">
        <v>163.5</v>
      </c>
      <c r="G231" s="21">
        <v>136.19999999999999</v>
      </c>
      <c r="H231" s="21">
        <v>143.19999999999999</v>
      </c>
      <c r="I231" s="21">
        <v>124.3</v>
      </c>
      <c r="J231" s="21">
        <v>143.30000000000001</v>
      </c>
      <c r="K231" s="21">
        <v>140.6</v>
      </c>
      <c r="L231" s="21">
        <v>128.69999999999999</v>
      </c>
      <c r="M231" s="21">
        <v>110.6</v>
      </c>
      <c r="N231" s="21">
        <v>140.4</v>
      </c>
      <c r="O231" s="21">
        <v>138</v>
      </c>
      <c r="P231" s="21">
        <v>156.6</v>
      </c>
      <c r="Q231" s="21">
        <v>141</v>
      </c>
      <c r="R231" s="21">
        <v>1804.1999999999998</v>
      </c>
      <c r="S231" s="21">
        <v>151.4</v>
      </c>
      <c r="T231" s="21">
        <v>146.5</v>
      </c>
      <c r="U231" s="21">
        <v>150.69999999999999</v>
      </c>
      <c r="V231" s="21">
        <v>448.59999999999997</v>
      </c>
      <c r="W231" s="21">
        <v>149.4</v>
      </c>
      <c r="X231" s="21">
        <v>149.6</v>
      </c>
      <c r="Y231" s="21">
        <v>299</v>
      </c>
      <c r="Z231" s="21">
        <v>151.69999999999999</v>
      </c>
      <c r="AA231" s="21">
        <v>134.80000000000001</v>
      </c>
      <c r="AB231" s="21">
        <f t="shared" si="7"/>
        <v>286.5</v>
      </c>
      <c r="AC231" s="21">
        <v>147.80000000000001</v>
      </c>
      <c r="AD231" s="21">
        <v>130.19999999999999</v>
      </c>
      <c r="AE231" s="21">
        <v>146.4</v>
      </c>
      <c r="AF231" s="21">
        <v>157.69999999999999</v>
      </c>
      <c r="AG231" s="21">
        <v>164.2</v>
      </c>
      <c r="AH231" s="21">
        <v>143.30000000000001</v>
      </c>
      <c r="AI231" s="21">
        <v>143.6</v>
      </c>
    </row>
    <row r="232" spans="1:35" x14ac:dyDescent="0.35">
      <c r="A232" s="21" t="s">
        <v>33</v>
      </c>
      <c r="B232" s="21">
        <v>2019</v>
      </c>
      <c r="C232" s="21" t="s">
        <v>39</v>
      </c>
      <c r="D232" s="17" t="str">
        <f t="shared" si="6"/>
        <v>June-2019</v>
      </c>
      <c r="E232" s="21">
        <v>140.69999999999999</v>
      </c>
      <c r="F232" s="21">
        <v>159.6</v>
      </c>
      <c r="G232" s="21">
        <v>140.4</v>
      </c>
      <c r="H232" s="21">
        <v>143.4</v>
      </c>
      <c r="I232" s="21">
        <v>118.6</v>
      </c>
      <c r="J232" s="21">
        <v>150.9</v>
      </c>
      <c r="K232" s="21">
        <v>169.8</v>
      </c>
      <c r="L232" s="21">
        <v>127.4</v>
      </c>
      <c r="M232" s="21">
        <v>111.8</v>
      </c>
      <c r="N232" s="21">
        <v>141</v>
      </c>
      <c r="O232" s="21">
        <v>129</v>
      </c>
      <c r="P232" s="21">
        <v>155.1</v>
      </c>
      <c r="Q232" s="21">
        <v>145.6</v>
      </c>
      <c r="R232" s="21">
        <v>1833.2999999999997</v>
      </c>
      <c r="S232" s="21">
        <v>144.30000000000001</v>
      </c>
      <c r="T232" s="21">
        <v>131.69999999999999</v>
      </c>
      <c r="U232" s="21">
        <v>142.4</v>
      </c>
      <c r="V232" s="21">
        <v>418.4</v>
      </c>
      <c r="W232" s="21">
        <v>149.4</v>
      </c>
      <c r="X232" s="21">
        <v>137.4</v>
      </c>
      <c r="Y232" s="21">
        <v>286.8</v>
      </c>
      <c r="Z232" s="21">
        <v>140.30000000000001</v>
      </c>
      <c r="AA232" s="21">
        <v>133.69999999999999</v>
      </c>
      <c r="AB232" s="21">
        <f t="shared" si="7"/>
        <v>274</v>
      </c>
      <c r="AC232" s="21">
        <v>130.5</v>
      </c>
      <c r="AD232" s="21">
        <v>119.6</v>
      </c>
      <c r="AE232" s="21">
        <v>134.30000000000001</v>
      </c>
      <c r="AF232" s="21">
        <v>148.9</v>
      </c>
      <c r="AG232" s="21">
        <v>166.7</v>
      </c>
      <c r="AH232" s="21">
        <v>133.6</v>
      </c>
      <c r="AI232" s="21">
        <v>142.1</v>
      </c>
    </row>
    <row r="233" spans="1:35" x14ac:dyDescent="0.35">
      <c r="A233" s="21" t="s">
        <v>34</v>
      </c>
      <c r="B233" s="21">
        <v>2019</v>
      </c>
      <c r="C233" s="21" t="s">
        <v>39</v>
      </c>
      <c r="D233" s="17" t="str">
        <f t="shared" si="6"/>
        <v>June-2019</v>
      </c>
      <c r="E233" s="21">
        <v>138.69999999999999</v>
      </c>
      <c r="F233" s="21">
        <v>162.1</v>
      </c>
      <c r="G233" s="21">
        <v>137.80000000000001</v>
      </c>
      <c r="H233" s="21">
        <v>143.30000000000001</v>
      </c>
      <c r="I233" s="21">
        <v>122.2</v>
      </c>
      <c r="J233" s="21">
        <v>146.80000000000001</v>
      </c>
      <c r="K233" s="21">
        <v>150.5</v>
      </c>
      <c r="L233" s="21">
        <v>128.30000000000001</v>
      </c>
      <c r="M233" s="21">
        <v>111</v>
      </c>
      <c r="N233" s="21">
        <v>140.6</v>
      </c>
      <c r="O233" s="21">
        <v>134.19999999999999</v>
      </c>
      <c r="P233" s="21">
        <v>155.9</v>
      </c>
      <c r="Q233" s="21">
        <v>142.69999999999999</v>
      </c>
      <c r="R233" s="21">
        <v>1814.1000000000001</v>
      </c>
      <c r="S233" s="21">
        <v>148.6</v>
      </c>
      <c r="T233" s="21">
        <v>140.4</v>
      </c>
      <c r="U233" s="21">
        <v>147.4</v>
      </c>
      <c r="V233" s="21">
        <v>436.4</v>
      </c>
      <c r="W233" s="21">
        <v>149.4</v>
      </c>
      <c r="X233" s="21">
        <v>143.80000000000001</v>
      </c>
      <c r="Y233" s="21">
        <v>293.20000000000005</v>
      </c>
      <c r="Z233" s="21">
        <v>147.4</v>
      </c>
      <c r="AA233" s="21">
        <v>134.30000000000001</v>
      </c>
      <c r="AB233" s="21">
        <f t="shared" si="7"/>
        <v>281.70000000000005</v>
      </c>
      <c r="AC233" s="21">
        <v>141.19999999999999</v>
      </c>
      <c r="AD233" s="21">
        <v>124.6</v>
      </c>
      <c r="AE233" s="21">
        <v>139.6</v>
      </c>
      <c r="AF233" s="21">
        <v>152.5</v>
      </c>
      <c r="AG233" s="21">
        <v>164.9</v>
      </c>
      <c r="AH233" s="21">
        <v>138.6</v>
      </c>
      <c r="AI233" s="21">
        <v>142.9</v>
      </c>
    </row>
    <row r="234" spans="1:35" x14ac:dyDescent="0.35">
      <c r="A234" s="21" t="s">
        <v>30</v>
      </c>
      <c r="B234" s="21">
        <v>2019</v>
      </c>
      <c r="C234" s="21" t="s">
        <v>40</v>
      </c>
      <c r="D234" s="17" t="str">
        <f t="shared" si="6"/>
        <v>July-2019</v>
      </c>
      <c r="E234" s="21">
        <v>138.4</v>
      </c>
      <c r="F234" s="21">
        <v>164</v>
      </c>
      <c r="G234" s="21">
        <v>138.4</v>
      </c>
      <c r="H234" s="21">
        <v>143.9</v>
      </c>
      <c r="I234" s="21">
        <v>124.4</v>
      </c>
      <c r="J234" s="21">
        <v>146.4</v>
      </c>
      <c r="K234" s="21">
        <v>150.1</v>
      </c>
      <c r="L234" s="21">
        <v>130.6</v>
      </c>
      <c r="M234" s="21">
        <v>110.8</v>
      </c>
      <c r="N234" s="21">
        <v>141.69999999999999</v>
      </c>
      <c r="O234" s="21">
        <v>138.5</v>
      </c>
      <c r="P234" s="21">
        <v>156.69999999999999</v>
      </c>
      <c r="Q234" s="21">
        <v>143</v>
      </c>
      <c r="R234" s="21">
        <v>1826.8999999999999</v>
      </c>
      <c r="S234" s="21">
        <v>151.6</v>
      </c>
      <c r="T234" s="21">
        <v>146.6</v>
      </c>
      <c r="U234" s="21">
        <v>150.9</v>
      </c>
      <c r="V234" s="21">
        <v>449.1</v>
      </c>
      <c r="W234" s="21">
        <v>150.6</v>
      </c>
      <c r="X234" s="21">
        <v>150</v>
      </c>
      <c r="Y234" s="21">
        <v>300.60000000000002</v>
      </c>
      <c r="Z234" s="21">
        <v>152.19999999999999</v>
      </c>
      <c r="AA234" s="21">
        <v>136.1</v>
      </c>
      <c r="AB234" s="21">
        <f t="shared" si="7"/>
        <v>288.29999999999995</v>
      </c>
      <c r="AC234" s="21">
        <v>146.80000000000001</v>
      </c>
      <c r="AD234" s="21">
        <v>131.19999999999999</v>
      </c>
      <c r="AE234" s="21">
        <v>147.5</v>
      </c>
      <c r="AF234" s="21">
        <v>159.1</v>
      </c>
      <c r="AG234" s="21">
        <v>164.5</v>
      </c>
      <c r="AH234" s="21">
        <v>144.19999999999999</v>
      </c>
      <c r="AI234" s="21">
        <v>144.9</v>
      </c>
    </row>
    <row r="235" spans="1:35" x14ac:dyDescent="0.35">
      <c r="A235" s="21" t="s">
        <v>33</v>
      </c>
      <c r="B235" s="21">
        <v>2019</v>
      </c>
      <c r="C235" s="21" t="s">
        <v>40</v>
      </c>
      <c r="D235" s="17" t="str">
        <f t="shared" si="6"/>
        <v>July-2019</v>
      </c>
      <c r="E235" s="21">
        <v>141.4</v>
      </c>
      <c r="F235" s="21">
        <v>160.19999999999999</v>
      </c>
      <c r="G235" s="21">
        <v>142.5</v>
      </c>
      <c r="H235" s="21">
        <v>144.1</v>
      </c>
      <c r="I235" s="21">
        <v>119.3</v>
      </c>
      <c r="J235" s="21">
        <v>154.69999999999999</v>
      </c>
      <c r="K235" s="21">
        <v>180.1</v>
      </c>
      <c r="L235" s="21">
        <v>128.9</v>
      </c>
      <c r="M235" s="21">
        <v>111.8</v>
      </c>
      <c r="N235" s="21">
        <v>141.6</v>
      </c>
      <c r="O235" s="21">
        <v>129.5</v>
      </c>
      <c r="P235" s="21">
        <v>155.6</v>
      </c>
      <c r="Q235" s="21">
        <v>147.69999999999999</v>
      </c>
      <c r="R235" s="21">
        <v>1857.3999999999999</v>
      </c>
      <c r="S235" s="21">
        <v>144.69999999999999</v>
      </c>
      <c r="T235" s="21">
        <v>131.9</v>
      </c>
      <c r="U235" s="21">
        <v>142.69999999999999</v>
      </c>
      <c r="V235" s="21">
        <v>419.3</v>
      </c>
      <c r="W235" s="21">
        <v>150.6</v>
      </c>
      <c r="X235" s="21">
        <v>137.69999999999999</v>
      </c>
      <c r="Y235" s="21">
        <v>288.29999999999995</v>
      </c>
      <c r="Z235" s="21">
        <v>140.80000000000001</v>
      </c>
      <c r="AA235" s="21">
        <v>135.1</v>
      </c>
      <c r="AB235" s="21">
        <f t="shared" si="7"/>
        <v>275.89999999999998</v>
      </c>
      <c r="AC235" s="21">
        <v>127</v>
      </c>
      <c r="AD235" s="21">
        <v>120.6</v>
      </c>
      <c r="AE235" s="21">
        <v>135</v>
      </c>
      <c r="AF235" s="21">
        <v>150.4</v>
      </c>
      <c r="AG235" s="21">
        <v>167.2</v>
      </c>
      <c r="AH235" s="21">
        <v>134.5</v>
      </c>
      <c r="AI235" s="21">
        <v>143.30000000000001</v>
      </c>
    </row>
    <row r="236" spans="1:35" x14ac:dyDescent="0.35">
      <c r="A236" s="21" t="s">
        <v>34</v>
      </c>
      <c r="B236" s="21">
        <v>2019</v>
      </c>
      <c r="C236" s="21" t="s">
        <v>40</v>
      </c>
      <c r="D236" s="17" t="str">
        <f t="shared" si="6"/>
        <v>July-2019</v>
      </c>
      <c r="E236" s="21">
        <v>139.30000000000001</v>
      </c>
      <c r="F236" s="21">
        <v>162.69999999999999</v>
      </c>
      <c r="G236" s="21">
        <v>140</v>
      </c>
      <c r="H236" s="21">
        <v>144</v>
      </c>
      <c r="I236" s="21">
        <v>122.5</v>
      </c>
      <c r="J236" s="21">
        <v>150.30000000000001</v>
      </c>
      <c r="K236" s="21">
        <v>160.30000000000001</v>
      </c>
      <c r="L236" s="21">
        <v>130</v>
      </c>
      <c r="M236" s="21">
        <v>111.1</v>
      </c>
      <c r="N236" s="21">
        <v>141.69999999999999</v>
      </c>
      <c r="O236" s="21">
        <v>134.69999999999999</v>
      </c>
      <c r="P236" s="21">
        <v>156.19999999999999</v>
      </c>
      <c r="Q236" s="21">
        <v>144.69999999999999</v>
      </c>
      <c r="R236" s="21">
        <v>1837.5</v>
      </c>
      <c r="S236" s="21">
        <v>148.9</v>
      </c>
      <c r="T236" s="21">
        <v>140.5</v>
      </c>
      <c r="U236" s="21">
        <v>147.6</v>
      </c>
      <c r="V236" s="21">
        <v>437</v>
      </c>
      <c r="W236" s="21">
        <v>150.6</v>
      </c>
      <c r="X236" s="21">
        <v>144.19999999999999</v>
      </c>
      <c r="Y236" s="21">
        <v>294.79999999999995</v>
      </c>
      <c r="Z236" s="21">
        <v>147.9</v>
      </c>
      <c r="AA236" s="21">
        <v>135.69999999999999</v>
      </c>
      <c r="AB236" s="21">
        <f t="shared" si="7"/>
        <v>283.60000000000002</v>
      </c>
      <c r="AC236" s="21">
        <v>139.30000000000001</v>
      </c>
      <c r="AD236" s="21">
        <v>125.6</v>
      </c>
      <c r="AE236" s="21">
        <v>140.5</v>
      </c>
      <c r="AF236" s="21">
        <v>154</v>
      </c>
      <c r="AG236" s="21">
        <v>165.2</v>
      </c>
      <c r="AH236" s="21">
        <v>139.5</v>
      </c>
      <c r="AI236" s="21">
        <v>144.19999999999999</v>
      </c>
    </row>
    <row r="237" spans="1:35" x14ac:dyDescent="0.35">
      <c r="A237" s="21" t="s">
        <v>30</v>
      </c>
      <c r="B237" s="21">
        <v>2019</v>
      </c>
      <c r="C237" s="21" t="s">
        <v>41</v>
      </c>
      <c r="D237" s="17" t="str">
        <f t="shared" si="6"/>
        <v>August-2019</v>
      </c>
      <c r="E237" s="21">
        <v>139.19999999999999</v>
      </c>
      <c r="F237" s="21">
        <v>161.9</v>
      </c>
      <c r="G237" s="21">
        <v>137.1</v>
      </c>
      <c r="H237" s="21">
        <v>144.6</v>
      </c>
      <c r="I237" s="21">
        <v>124.7</v>
      </c>
      <c r="J237" s="21">
        <v>145.5</v>
      </c>
      <c r="K237" s="21">
        <v>156.19999999999999</v>
      </c>
      <c r="L237" s="21">
        <v>131.5</v>
      </c>
      <c r="M237" s="21">
        <v>111.7</v>
      </c>
      <c r="N237" s="21">
        <v>142.69999999999999</v>
      </c>
      <c r="O237" s="21">
        <v>138.5</v>
      </c>
      <c r="P237" s="21">
        <v>156.9</v>
      </c>
      <c r="Q237" s="21">
        <v>144</v>
      </c>
      <c r="R237" s="21">
        <v>1834.5000000000002</v>
      </c>
      <c r="S237" s="21">
        <v>151.80000000000001</v>
      </c>
      <c r="T237" s="21">
        <v>146.6</v>
      </c>
      <c r="U237" s="21">
        <v>151.1</v>
      </c>
      <c r="V237" s="21">
        <v>449.5</v>
      </c>
      <c r="W237" s="21">
        <v>151.6</v>
      </c>
      <c r="X237" s="21">
        <v>150.19999999999999</v>
      </c>
      <c r="Y237" s="21">
        <v>301.79999999999995</v>
      </c>
      <c r="Z237" s="21">
        <v>152.69999999999999</v>
      </c>
      <c r="AA237" s="21">
        <v>138.80000000000001</v>
      </c>
      <c r="AB237" s="21">
        <f t="shared" si="7"/>
        <v>291.5</v>
      </c>
      <c r="AC237" s="21">
        <v>146.4</v>
      </c>
      <c r="AD237" s="21">
        <v>131.4</v>
      </c>
      <c r="AE237" s="21">
        <v>148</v>
      </c>
      <c r="AF237" s="21">
        <v>159.69999999999999</v>
      </c>
      <c r="AG237" s="21">
        <v>165.1</v>
      </c>
      <c r="AH237" s="21">
        <v>144.9</v>
      </c>
      <c r="AI237" s="21">
        <v>145.69999999999999</v>
      </c>
    </row>
    <row r="238" spans="1:35" x14ac:dyDescent="0.35">
      <c r="A238" s="21" t="s">
        <v>33</v>
      </c>
      <c r="B238" s="21">
        <v>2019</v>
      </c>
      <c r="C238" s="21" t="s">
        <v>41</v>
      </c>
      <c r="D238" s="17" t="str">
        <f t="shared" si="6"/>
        <v>August-2019</v>
      </c>
      <c r="E238" s="21">
        <v>142.1</v>
      </c>
      <c r="F238" s="21">
        <v>158.30000000000001</v>
      </c>
      <c r="G238" s="21">
        <v>140.80000000000001</v>
      </c>
      <c r="H238" s="21">
        <v>144.9</v>
      </c>
      <c r="I238" s="21">
        <v>119.9</v>
      </c>
      <c r="J238" s="21">
        <v>153.9</v>
      </c>
      <c r="K238" s="21">
        <v>189.1</v>
      </c>
      <c r="L238" s="21">
        <v>129.80000000000001</v>
      </c>
      <c r="M238" s="21">
        <v>112.7</v>
      </c>
      <c r="N238" s="21">
        <v>142.5</v>
      </c>
      <c r="O238" s="21">
        <v>129.80000000000001</v>
      </c>
      <c r="P238" s="21">
        <v>156.19999999999999</v>
      </c>
      <c r="Q238" s="21">
        <v>149.1</v>
      </c>
      <c r="R238" s="21">
        <v>1869.1</v>
      </c>
      <c r="S238" s="21">
        <v>145</v>
      </c>
      <c r="T238" s="21">
        <v>132.19999999999999</v>
      </c>
      <c r="U238" s="21">
        <v>143</v>
      </c>
      <c r="V238" s="21">
        <v>420.2</v>
      </c>
      <c r="W238" s="21">
        <v>151.6</v>
      </c>
      <c r="X238" s="21">
        <v>138.1</v>
      </c>
      <c r="Y238" s="21">
        <v>289.7</v>
      </c>
      <c r="Z238" s="21">
        <v>141.5</v>
      </c>
      <c r="AA238" s="21">
        <v>137.80000000000001</v>
      </c>
      <c r="AB238" s="21">
        <f t="shared" si="7"/>
        <v>279.3</v>
      </c>
      <c r="AC238" s="21">
        <v>125.5</v>
      </c>
      <c r="AD238" s="21">
        <v>120.8</v>
      </c>
      <c r="AE238" s="21">
        <v>135.4</v>
      </c>
      <c r="AF238" s="21">
        <v>151.5</v>
      </c>
      <c r="AG238" s="21">
        <v>167.9</v>
      </c>
      <c r="AH238" s="21">
        <v>135.30000000000001</v>
      </c>
      <c r="AI238" s="21">
        <v>144.19999999999999</v>
      </c>
    </row>
    <row r="239" spans="1:35" x14ac:dyDescent="0.35">
      <c r="A239" s="21" t="s">
        <v>34</v>
      </c>
      <c r="B239" s="21">
        <v>2019</v>
      </c>
      <c r="C239" s="21" t="s">
        <v>41</v>
      </c>
      <c r="D239" s="17" t="str">
        <f t="shared" si="6"/>
        <v>August-2019</v>
      </c>
      <c r="E239" s="21">
        <v>140.1</v>
      </c>
      <c r="F239" s="21">
        <v>160.6</v>
      </c>
      <c r="G239" s="21">
        <v>138.5</v>
      </c>
      <c r="H239" s="21">
        <v>144.69999999999999</v>
      </c>
      <c r="I239" s="21">
        <v>122.9</v>
      </c>
      <c r="J239" s="21">
        <v>149.4</v>
      </c>
      <c r="K239" s="21">
        <v>167.4</v>
      </c>
      <c r="L239" s="21">
        <v>130.9</v>
      </c>
      <c r="M239" s="21">
        <v>112</v>
      </c>
      <c r="N239" s="21">
        <v>142.6</v>
      </c>
      <c r="O239" s="21">
        <v>134.9</v>
      </c>
      <c r="P239" s="21">
        <v>156.6</v>
      </c>
      <c r="Q239" s="21">
        <v>145.9</v>
      </c>
      <c r="R239" s="21">
        <v>1846.5</v>
      </c>
      <c r="S239" s="21">
        <v>149.1</v>
      </c>
      <c r="T239" s="21">
        <v>140.6</v>
      </c>
      <c r="U239" s="21">
        <v>147.9</v>
      </c>
      <c r="V239" s="21">
        <v>437.6</v>
      </c>
      <c r="W239" s="21">
        <v>151.6</v>
      </c>
      <c r="X239" s="21">
        <v>144.5</v>
      </c>
      <c r="Y239" s="21">
        <v>296.10000000000002</v>
      </c>
      <c r="Z239" s="21">
        <v>148.5</v>
      </c>
      <c r="AA239" s="21">
        <v>138.4</v>
      </c>
      <c r="AB239" s="21">
        <f t="shared" si="7"/>
        <v>286.89999999999998</v>
      </c>
      <c r="AC239" s="21">
        <v>138.5</v>
      </c>
      <c r="AD239" s="21">
        <v>125.8</v>
      </c>
      <c r="AE239" s="21">
        <v>140.9</v>
      </c>
      <c r="AF239" s="21">
        <v>154.9</v>
      </c>
      <c r="AG239" s="21">
        <v>165.8</v>
      </c>
      <c r="AH239" s="21">
        <v>140.19999999999999</v>
      </c>
      <c r="AI239" s="21">
        <v>145</v>
      </c>
    </row>
    <row r="240" spans="1:35" x14ac:dyDescent="0.35">
      <c r="A240" s="21" t="s">
        <v>30</v>
      </c>
      <c r="B240" s="21">
        <v>2019</v>
      </c>
      <c r="C240" s="21" t="s">
        <v>42</v>
      </c>
      <c r="D240" s="17" t="str">
        <f t="shared" si="6"/>
        <v>September-2019</v>
      </c>
      <c r="E240" s="21">
        <v>140.1</v>
      </c>
      <c r="F240" s="21">
        <v>161.9</v>
      </c>
      <c r="G240" s="21">
        <v>138.30000000000001</v>
      </c>
      <c r="H240" s="21">
        <v>145.69999999999999</v>
      </c>
      <c r="I240" s="21">
        <v>125.1</v>
      </c>
      <c r="J240" s="21">
        <v>143.80000000000001</v>
      </c>
      <c r="K240" s="21">
        <v>163.4</v>
      </c>
      <c r="L240" s="21">
        <v>132.19999999999999</v>
      </c>
      <c r="M240" s="21">
        <v>112.8</v>
      </c>
      <c r="N240" s="21">
        <v>144.19999999999999</v>
      </c>
      <c r="O240" s="21">
        <v>138.5</v>
      </c>
      <c r="P240" s="21">
        <v>157.19999999999999</v>
      </c>
      <c r="Q240" s="21">
        <v>145.5</v>
      </c>
      <c r="R240" s="21">
        <v>1848.7</v>
      </c>
      <c r="S240" s="21">
        <v>151.69999999999999</v>
      </c>
      <c r="T240" s="21">
        <v>146.6</v>
      </c>
      <c r="U240" s="21">
        <v>151</v>
      </c>
      <c r="V240" s="21">
        <v>449.29999999999995</v>
      </c>
      <c r="W240" s="21">
        <v>152.19999999999999</v>
      </c>
      <c r="X240" s="21">
        <v>150.30000000000001</v>
      </c>
      <c r="Y240" s="21">
        <v>302.5</v>
      </c>
      <c r="Z240" s="21">
        <v>153.4</v>
      </c>
      <c r="AA240" s="21">
        <v>140.19999999999999</v>
      </c>
      <c r="AB240" s="21">
        <f t="shared" si="7"/>
        <v>293.60000000000002</v>
      </c>
      <c r="AC240" s="21">
        <v>146.9</v>
      </c>
      <c r="AD240" s="21">
        <v>131.6</v>
      </c>
      <c r="AE240" s="21">
        <v>148.30000000000001</v>
      </c>
      <c r="AF240" s="21">
        <v>160.19999999999999</v>
      </c>
      <c r="AG240" s="21">
        <v>165.7</v>
      </c>
      <c r="AH240" s="21">
        <v>145.4</v>
      </c>
      <c r="AI240" s="21">
        <v>146.69999999999999</v>
      </c>
    </row>
    <row r="241" spans="1:35" x14ac:dyDescent="0.35">
      <c r="A241" s="21" t="s">
        <v>33</v>
      </c>
      <c r="B241" s="21">
        <v>2019</v>
      </c>
      <c r="C241" s="21" t="s">
        <v>42</v>
      </c>
      <c r="D241" s="17" t="str">
        <f t="shared" si="6"/>
        <v>September-2019</v>
      </c>
      <c r="E241" s="21">
        <v>142.69999999999999</v>
      </c>
      <c r="F241" s="21">
        <v>158.69999999999999</v>
      </c>
      <c r="G241" s="21">
        <v>141.6</v>
      </c>
      <c r="H241" s="21">
        <v>144.9</v>
      </c>
      <c r="I241" s="21">
        <v>120.8</v>
      </c>
      <c r="J241" s="21">
        <v>149.80000000000001</v>
      </c>
      <c r="K241" s="21">
        <v>192.4</v>
      </c>
      <c r="L241" s="21">
        <v>130.30000000000001</v>
      </c>
      <c r="M241" s="21">
        <v>114</v>
      </c>
      <c r="N241" s="21">
        <v>143.80000000000001</v>
      </c>
      <c r="O241" s="21">
        <v>130</v>
      </c>
      <c r="P241" s="21">
        <v>156.4</v>
      </c>
      <c r="Q241" s="21">
        <v>149.5</v>
      </c>
      <c r="R241" s="21">
        <v>1874.9</v>
      </c>
      <c r="S241" s="21">
        <v>145.30000000000001</v>
      </c>
      <c r="T241" s="21">
        <v>132.19999999999999</v>
      </c>
      <c r="U241" s="21">
        <v>143.30000000000001</v>
      </c>
      <c r="V241" s="21">
        <v>420.8</v>
      </c>
      <c r="W241" s="21">
        <v>152.19999999999999</v>
      </c>
      <c r="X241" s="21">
        <v>138.30000000000001</v>
      </c>
      <c r="Y241" s="21">
        <v>290.5</v>
      </c>
      <c r="Z241" s="21">
        <v>141.9</v>
      </c>
      <c r="AA241" s="21">
        <v>139</v>
      </c>
      <c r="AB241" s="21">
        <f t="shared" si="7"/>
        <v>280.89999999999998</v>
      </c>
      <c r="AC241" s="21">
        <v>126.6</v>
      </c>
      <c r="AD241" s="21">
        <v>121.2</v>
      </c>
      <c r="AE241" s="21">
        <v>135.9</v>
      </c>
      <c r="AF241" s="21">
        <v>151.6</v>
      </c>
      <c r="AG241" s="21">
        <v>168.6</v>
      </c>
      <c r="AH241" s="21">
        <v>135.69999999999999</v>
      </c>
      <c r="AI241" s="21">
        <v>144.69999999999999</v>
      </c>
    </row>
    <row r="242" spans="1:35" x14ac:dyDescent="0.35">
      <c r="A242" s="21" t="s">
        <v>34</v>
      </c>
      <c r="B242" s="21">
        <v>2019</v>
      </c>
      <c r="C242" s="21" t="s">
        <v>42</v>
      </c>
      <c r="D242" s="17" t="str">
        <f t="shared" si="6"/>
        <v>September-2019</v>
      </c>
      <c r="E242" s="21">
        <v>140.9</v>
      </c>
      <c r="F242" s="21">
        <v>160.80000000000001</v>
      </c>
      <c r="G242" s="21">
        <v>139.6</v>
      </c>
      <c r="H242" s="21">
        <v>145.4</v>
      </c>
      <c r="I242" s="21">
        <v>123.5</v>
      </c>
      <c r="J242" s="21">
        <v>146.6</v>
      </c>
      <c r="K242" s="21">
        <v>173.2</v>
      </c>
      <c r="L242" s="21">
        <v>131.6</v>
      </c>
      <c r="M242" s="21">
        <v>113.2</v>
      </c>
      <c r="N242" s="21">
        <v>144.1</v>
      </c>
      <c r="O242" s="21">
        <v>135</v>
      </c>
      <c r="P242" s="21">
        <v>156.80000000000001</v>
      </c>
      <c r="Q242" s="21">
        <v>147</v>
      </c>
      <c r="R242" s="21">
        <v>1857.6999999999998</v>
      </c>
      <c r="S242" s="21">
        <v>149.19999999999999</v>
      </c>
      <c r="T242" s="21">
        <v>140.6</v>
      </c>
      <c r="U242" s="21">
        <v>147.9</v>
      </c>
      <c r="V242" s="21">
        <v>437.69999999999993</v>
      </c>
      <c r="W242" s="21">
        <v>152.19999999999999</v>
      </c>
      <c r="X242" s="21">
        <v>144.6</v>
      </c>
      <c r="Y242" s="21">
        <v>296.79999999999995</v>
      </c>
      <c r="Z242" s="21">
        <v>149</v>
      </c>
      <c r="AA242" s="21">
        <v>139.69999999999999</v>
      </c>
      <c r="AB242" s="21">
        <f t="shared" si="7"/>
        <v>288.7</v>
      </c>
      <c r="AC242" s="21">
        <v>139.19999999999999</v>
      </c>
      <c r="AD242" s="21">
        <v>126.1</v>
      </c>
      <c r="AE242" s="21">
        <v>141.30000000000001</v>
      </c>
      <c r="AF242" s="21">
        <v>155.19999999999999</v>
      </c>
      <c r="AG242" s="21">
        <v>166.5</v>
      </c>
      <c r="AH242" s="21">
        <v>140.69999999999999</v>
      </c>
      <c r="AI242" s="21">
        <v>145.80000000000001</v>
      </c>
    </row>
    <row r="243" spans="1:35" x14ac:dyDescent="0.35">
      <c r="A243" s="21" t="s">
        <v>30</v>
      </c>
      <c r="B243" s="21">
        <v>2019</v>
      </c>
      <c r="C243" s="21" t="s">
        <v>43</v>
      </c>
      <c r="D243" s="17" t="str">
        <f t="shared" si="6"/>
        <v>October-2019</v>
      </c>
      <c r="E243" s="21">
        <v>141</v>
      </c>
      <c r="F243" s="21">
        <v>161.6</v>
      </c>
      <c r="G243" s="21">
        <v>141.19999999999999</v>
      </c>
      <c r="H243" s="21">
        <v>146.5</v>
      </c>
      <c r="I243" s="21">
        <v>125.6</v>
      </c>
      <c r="J243" s="21">
        <v>145.69999999999999</v>
      </c>
      <c r="K243" s="21">
        <v>178.8</v>
      </c>
      <c r="L243" s="21">
        <v>133.1</v>
      </c>
      <c r="M243" s="21">
        <v>113.6</v>
      </c>
      <c r="N243" s="21">
        <v>145.5</v>
      </c>
      <c r="O243" s="21">
        <v>138.6</v>
      </c>
      <c r="P243" s="21">
        <v>157.4</v>
      </c>
      <c r="Q243" s="21">
        <v>148.30000000000001</v>
      </c>
      <c r="R243" s="21">
        <v>1876.8999999999996</v>
      </c>
      <c r="S243" s="21">
        <v>151.69999999999999</v>
      </c>
      <c r="T243" s="21">
        <v>146.69999999999999</v>
      </c>
      <c r="U243" s="21">
        <v>151</v>
      </c>
      <c r="V243" s="21">
        <v>449.4</v>
      </c>
      <c r="W243" s="21">
        <v>153</v>
      </c>
      <c r="X243" s="21">
        <v>150.6</v>
      </c>
      <c r="Y243" s="21">
        <v>303.60000000000002</v>
      </c>
      <c r="Z243" s="21">
        <v>153.69999999999999</v>
      </c>
      <c r="AA243" s="21">
        <v>140.30000000000001</v>
      </c>
      <c r="AB243" s="21">
        <f t="shared" si="7"/>
        <v>294</v>
      </c>
      <c r="AC243" s="21">
        <v>147.69999999999999</v>
      </c>
      <c r="AD243" s="21">
        <v>131.69999999999999</v>
      </c>
      <c r="AE243" s="21">
        <v>148.69999999999999</v>
      </c>
      <c r="AF243" s="21">
        <v>160.69999999999999</v>
      </c>
      <c r="AG243" s="21">
        <v>166.3</v>
      </c>
      <c r="AH243" s="21">
        <v>145.69999999999999</v>
      </c>
      <c r="AI243" s="21">
        <v>148.30000000000001</v>
      </c>
    </row>
    <row r="244" spans="1:35" x14ac:dyDescent="0.35">
      <c r="A244" s="21" t="s">
        <v>33</v>
      </c>
      <c r="B244" s="21">
        <v>2019</v>
      </c>
      <c r="C244" s="21" t="s">
        <v>43</v>
      </c>
      <c r="D244" s="17" t="str">
        <f t="shared" si="6"/>
        <v>October-2019</v>
      </c>
      <c r="E244" s="21">
        <v>143.5</v>
      </c>
      <c r="F244" s="21">
        <v>159.80000000000001</v>
      </c>
      <c r="G244" s="21">
        <v>144.69999999999999</v>
      </c>
      <c r="H244" s="21">
        <v>145.6</v>
      </c>
      <c r="I244" s="21">
        <v>121.1</v>
      </c>
      <c r="J244" s="21">
        <v>150.6</v>
      </c>
      <c r="K244" s="21">
        <v>207.2</v>
      </c>
      <c r="L244" s="21">
        <v>131.19999999999999</v>
      </c>
      <c r="M244" s="21">
        <v>114.8</v>
      </c>
      <c r="N244" s="21">
        <v>145.19999999999999</v>
      </c>
      <c r="O244" s="21">
        <v>130.19999999999999</v>
      </c>
      <c r="P244" s="21">
        <v>156.80000000000001</v>
      </c>
      <c r="Q244" s="21">
        <v>151.9</v>
      </c>
      <c r="R244" s="21">
        <v>1902.6000000000001</v>
      </c>
      <c r="S244" s="21">
        <v>145.9</v>
      </c>
      <c r="T244" s="21">
        <v>132.4</v>
      </c>
      <c r="U244" s="21">
        <v>143.9</v>
      </c>
      <c r="V244" s="21">
        <v>422.20000000000005</v>
      </c>
      <c r="W244" s="21">
        <v>153</v>
      </c>
      <c r="X244" s="21">
        <v>138.69999999999999</v>
      </c>
      <c r="Y244" s="21">
        <v>291.7</v>
      </c>
      <c r="Z244" s="21">
        <v>142.4</v>
      </c>
      <c r="AA244" s="21">
        <v>139.5</v>
      </c>
      <c r="AB244" s="21">
        <f t="shared" si="7"/>
        <v>281.89999999999998</v>
      </c>
      <c r="AC244" s="21">
        <v>128.9</v>
      </c>
      <c r="AD244" s="21">
        <v>121.5</v>
      </c>
      <c r="AE244" s="21">
        <v>136.19999999999999</v>
      </c>
      <c r="AF244" s="21">
        <v>151.69999999999999</v>
      </c>
      <c r="AG244" s="21">
        <v>169.3</v>
      </c>
      <c r="AH244" s="21">
        <v>136</v>
      </c>
      <c r="AI244" s="21">
        <v>146</v>
      </c>
    </row>
    <row r="245" spans="1:35" x14ac:dyDescent="0.35">
      <c r="A245" s="21" t="s">
        <v>34</v>
      </c>
      <c r="B245" s="21">
        <v>2019</v>
      </c>
      <c r="C245" s="21" t="s">
        <v>43</v>
      </c>
      <c r="D245" s="17" t="str">
        <f t="shared" si="6"/>
        <v>October-2019</v>
      </c>
      <c r="E245" s="21">
        <v>141.80000000000001</v>
      </c>
      <c r="F245" s="21">
        <v>161</v>
      </c>
      <c r="G245" s="21">
        <v>142.6</v>
      </c>
      <c r="H245" s="21">
        <v>146.19999999999999</v>
      </c>
      <c r="I245" s="21">
        <v>123.9</v>
      </c>
      <c r="J245" s="21">
        <v>148</v>
      </c>
      <c r="K245" s="21">
        <v>188.4</v>
      </c>
      <c r="L245" s="21">
        <v>132.5</v>
      </c>
      <c r="M245" s="21">
        <v>114</v>
      </c>
      <c r="N245" s="21">
        <v>145.4</v>
      </c>
      <c r="O245" s="21">
        <v>135.1</v>
      </c>
      <c r="P245" s="21">
        <v>157.1</v>
      </c>
      <c r="Q245" s="21">
        <v>149.6</v>
      </c>
      <c r="R245" s="21">
        <v>1885.5999999999997</v>
      </c>
      <c r="S245" s="21">
        <v>149.4</v>
      </c>
      <c r="T245" s="21">
        <v>140.80000000000001</v>
      </c>
      <c r="U245" s="21">
        <v>148.19999999999999</v>
      </c>
      <c r="V245" s="21">
        <v>438.40000000000003</v>
      </c>
      <c r="W245" s="21">
        <v>153</v>
      </c>
      <c r="X245" s="21">
        <v>145</v>
      </c>
      <c r="Y245" s="21">
        <v>298</v>
      </c>
      <c r="Z245" s="21">
        <v>149.4</v>
      </c>
      <c r="AA245" s="21">
        <v>140</v>
      </c>
      <c r="AB245" s="21">
        <f t="shared" si="7"/>
        <v>289.39999999999998</v>
      </c>
      <c r="AC245" s="21">
        <v>140.6</v>
      </c>
      <c r="AD245" s="21">
        <v>126.3</v>
      </c>
      <c r="AE245" s="21">
        <v>141.69999999999999</v>
      </c>
      <c r="AF245" s="21">
        <v>155.4</v>
      </c>
      <c r="AG245" s="21">
        <v>167.1</v>
      </c>
      <c r="AH245" s="21">
        <v>141</v>
      </c>
      <c r="AI245" s="21">
        <v>147.19999999999999</v>
      </c>
    </row>
    <row r="246" spans="1:35" x14ac:dyDescent="0.35">
      <c r="A246" s="21" t="s">
        <v>30</v>
      </c>
      <c r="B246" s="21">
        <v>2019</v>
      </c>
      <c r="C246" s="21" t="s">
        <v>45</v>
      </c>
      <c r="D246" s="17" t="str">
        <f t="shared" si="6"/>
        <v>November-2019</v>
      </c>
      <c r="E246" s="21">
        <v>141.80000000000001</v>
      </c>
      <c r="F246" s="21">
        <v>163.69999999999999</v>
      </c>
      <c r="G246" s="21">
        <v>143.80000000000001</v>
      </c>
      <c r="H246" s="21">
        <v>147.1</v>
      </c>
      <c r="I246" s="21">
        <v>126</v>
      </c>
      <c r="J246" s="21">
        <v>146.19999999999999</v>
      </c>
      <c r="K246" s="21">
        <v>191.4</v>
      </c>
      <c r="L246" s="21">
        <v>136.19999999999999</v>
      </c>
      <c r="M246" s="21">
        <v>113.8</v>
      </c>
      <c r="N246" s="21">
        <v>147.30000000000001</v>
      </c>
      <c r="O246" s="21">
        <v>138.69999999999999</v>
      </c>
      <c r="P246" s="21">
        <v>157.69999999999999</v>
      </c>
      <c r="Q246" s="21">
        <v>150.9</v>
      </c>
      <c r="R246" s="21">
        <v>1904.6000000000001</v>
      </c>
      <c r="S246" s="21">
        <v>152.30000000000001</v>
      </c>
      <c r="T246" s="21">
        <v>147</v>
      </c>
      <c r="U246" s="21">
        <v>151.5</v>
      </c>
      <c r="V246" s="21">
        <v>450.8</v>
      </c>
      <c r="W246" s="21">
        <v>153.5</v>
      </c>
      <c r="X246" s="21">
        <v>150.9</v>
      </c>
      <c r="Y246" s="21">
        <v>304.39999999999998</v>
      </c>
      <c r="Z246" s="21">
        <v>154.30000000000001</v>
      </c>
      <c r="AA246" s="21">
        <v>140.6</v>
      </c>
      <c r="AB246" s="21">
        <f t="shared" si="7"/>
        <v>294.89999999999998</v>
      </c>
      <c r="AC246" s="21">
        <v>148.4</v>
      </c>
      <c r="AD246" s="21">
        <v>132.1</v>
      </c>
      <c r="AE246" s="21">
        <v>149.1</v>
      </c>
      <c r="AF246" s="21">
        <v>160.80000000000001</v>
      </c>
      <c r="AG246" s="21">
        <v>167.2</v>
      </c>
      <c r="AH246" s="21">
        <v>146.1</v>
      </c>
      <c r="AI246" s="21">
        <v>149.9</v>
      </c>
    </row>
    <row r="247" spans="1:35" x14ac:dyDescent="0.35">
      <c r="A247" s="21" t="s">
        <v>33</v>
      </c>
      <c r="B247" s="21">
        <v>2019</v>
      </c>
      <c r="C247" s="21" t="s">
        <v>45</v>
      </c>
      <c r="D247" s="17" t="str">
        <f t="shared" si="6"/>
        <v>November-2019</v>
      </c>
      <c r="E247" s="21">
        <v>144.1</v>
      </c>
      <c r="F247" s="21">
        <v>162.4</v>
      </c>
      <c r="G247" s="21">
        <v>148.4</v>
      </c>
      <c r="H247" s="21">
        <v>145.9</v>
      </c>
      <c r="I247" s="21">
        <v>121.5</v>
      </c>
      <c r="J247" s="21">
        <v>148.80000000000001</v>
      </c>
      <c r="K247" s="21">
        <v>215.7</v>
      </c>
      <c r="L247" s="21">
        <v>134.6</v>
      </c>
      <c r="M247" s="21">
        <v>115</v>
      </c>
      <c r="N247" s="21">
        <v>146.30000000000001</v>
      </c>
      <c r="O247" s="21">
        <v>130.5</v>
      </c>
      <c r="P247" s="21">
        <v>157.19999999999999</v>
      </c>
      <c r="Q247" s="21">
        <v>153.6</v>
      </c>
      <c r="R247" s="21">
        <v>1923.9999999999998</v>
      </c>
      <c r="S247" s="21">
        <v>146.30000000000001</v>
      </c>
      <c r="T247" s="21">
        <v>132.6</v>
      </c>
      <c r="U247" s="21">
        <v>144.19999999999999</v>
      </c>
      <c r="V247" s="21">
        <v>423.09999999999997</v>
      </c>
      <c r="W247" s="21">
        <v>153.5</v>
      </c>
      <c r="X247" s="21">
        <v>139.1</v>
      </c>
      <c r="Y247" s="21">
        <v>292.60000000000002</v>
      </c>
      <c r="Z247" s="21">
        <v>142.80000000000001</v>
      </c>
      <c r="AA247" s="21">
        <v>139.80000000000001</v>
      </c>
      <c r="AB247" s="21">
        <f t="shared" si="7"/>
        <v>282.60000000000002</v>
      </c>
      <c r="AC247" s="21">
        <v>132.19999999999999</v>
      </c>
      <c r="AD247" s="21">
        <v>121.7</v>
      </c>
      <c r="AE247" s="21">
        <v>136.69999999999999</v>
      </c>
      <c r="AF247" s="21">
        <v>151.80000000000001</v>
      </c>
      <c r="AG247" s="21">
        <v>169.9</v>
      </c>
      <c r="AH247" s="21">
        <v>136.30000000000001</v>
      </c>
      <c r="AI247" s="21">
        <v>147</v>
      </c>
    </row>
    <row r="248" spans="1:35" x14ac:dyDescent="0.35">
      <c r="A248" s="21" t="s">
        <v>34</v>
      </c>
      <c r="B248" s="21">
        <v>2019</v>
      </c>
      <c r="C248" s="21" t="s">
        <v>45</v>
      </c>
      <c r="D248" s="17" t="str">
        <f t="shared" si="6"/>
        <v>November-2019</v>
      </c>
      <c r="E248" s="21">
        <v>142.5</v>
      </c>
      <c r="F248" s="21">
        <v>163.19999999999999</v>
      </c>
      <c r="G248" s="21">
        <v>145.6</v>
      </c>
      <c r="H248" s="21">
        <v>146.69999999999999</v>
      </c>
      <c r="I248" s="21">
        <v>124.3</v>
      </c>
      <c r="J248" s="21">
        <v>147.4</v>
      </c>
      <c r="K248" s="21">
        <v>199.6</v>
      </c>
      <c r="L248" s="21">
        <v>135.69999999999999</v>
      </c>
      <c r="M248" s="21">
        <v>114.2</v>
      </c>
      <c r="N248" s="21">
        <v>147</v>
      </c>
      <c r="O248" s="21">
        <v>135.30000000000001</v>
      </c>
      <c r="P248" s="21">
        <v>157.5</v>
      </c>
      <c r="Q248" s="21">
        <v>151.9</v>
      </c>
      <c r="R248" s="21">
        <v>1910.9</v>
      </c>
      <c r="S248" s="21">
        <v>149.9</v>
      </c>
      <c r="T248" s="21">
        <v>141</v>
      </c>
      <c r="U248" s="21">
        <v>148.6</v>
      </c>
      <c r="V248" s="21">
        <v>439.5</v>
      </c>
      <c r="W248" s="21">
        <v>153.5</v>
      </c>
      <c r="X248" s="21">
        <v>145.30000000000001</v>
      </c>
      <c r="Y248" s="21">
        <v>298.8</v>
      </c>
      <c r="Z248" s="21">
        <v>149.9</v>
      </c>
      <c r="AA248" s="21">
        <v>140.30000000000001</v>
      </c>
      <c r="AB248" s="21">
        <f t="shared" si="7"/>
        <v>290.20000000000005</v>
      </c>
      <c r="AC248" s="21">
        <v>142.30000000000001</v>
      </c>
      <c r="AD248" s="21">
        <v>126.6</v>
      </c>
      <c r="AE248" s="21">
        <v>142.1</v>
      </c>
      <c r="AF248" s="21">
        <v>155.5</v>
      </c>
      <c r="AG248" s="21">
        <v>167.9</v>
      </c>
      <c r="AH248" s="21">
        <v>141.30000000000001</v>
      </c>
      <c r="AI248" s="21">
        <v>148.6</v>
      </c>
    </row>
    <row r="249" spans="1:35" x14ac:dyDescent="0.35">
      <c r="A249" s="21" t="s">
        <v>30</v>
      </c>
      <c r="B249" s="21">
        <v>2019</v>
      </c>
      <c r="C249" s="21" t="s">
        <v>46</v>
      </c>
      <c r="D249" s="17" t="str">
        <f t="shared" si="6"/>
        <v>December-2019</v>
      </c>
      <c r="E249" s="21">
        <v>142.80000000000001</v>
      </c>
      <c r="F249" s="21">
        <v>165.3</v>
      </c>
      <c r="G249" s="21">
        <v>149.5</v>
      </c>
      <c r="H249" s="21">
        <v>148.69999999999999</v>
      </c>
      <c r="I249" s="21">
        <v>127.5</v>
      </c>
      <c r="J249" s="21">
        <v>144.30000000000001</v>
      </c>
      <c r="K249" s="21">
        <v>209.5</v>
      </c>
      <c r="L249" s="21">
        <v>138.80000000000001</v>
      </c>
      <c r="M249" s="21">
        <v>113.6</v>
      </c>
      <c r="N249" s="21">
        <v>149.1</v>
      </c>
      <c r="O249" s="21">
        <v>139.30000000000001</v>
      </c>
      <c r="P249" s="21">
        <v>158.30000000000001</v>
      </c>
      <c r="Q249" s="21">
        <v>154.30000000000001</v>
      </c>
      <c r="R249" s="21">
        <v>1940.9999999999995</v>
      </c>
      <c r="S249" s="21">
        <v>152.6</v>
      </c>
      <c r="T249" s="21">
        <v>147.30000000000001</v>
      </c>
      <c r="U249" s="21">
        <v>151.9</v>
      </c>
      <c r="V249" s="21">
        <v>451.79999999999995</v>
      </c>
      <c r="W249" s="21">
        <v>152.80000000000001</v>
      </c>
      <c r="X249" s="21">
        <v>151.19999999999999</v>
      </c>
      <c r="Y249" s="21">
        <v>304</v>
      </c>
      <c r="Z249" s="21">
        <v>154.80000000000001</v>
      </c>
      <c r="AA249" s="21">
        <v>140.6</v>
      </c>
      <c r="AB249" s="21">
        <f t="shared" si="7"/>
        <v>295.39999999999998</v>
      </c>
      <c r="AC249" s="21">
        <v>149.9</v>
      </c>
      <c r="AD249" s="21">
        <v>135</v>
      </c>
      <c r="AE249" s="21">
        <v>149.5</v>
      </c>
      <c r="AF249" s="21">
        <v>161.1</v>
      </c>
      <c r="AG249" s="21">
        <v>167.8</v>
      </c>
      <c r="AH249" s="21">
        <v>147.1</v>
      </c>
      <c r="AI249" s="21">
        <v>152.30000000000001</v>
      </c>
    </row>
    <row r="250" spans="1:35" x14ac:dyDescent="0.35">
      <c r="A250" s="21" t="s">
        <v>33</v>
      </c>
      <c r="B250" s="21">
        <v>2019</v>
      </c>
      <c r="C250" s="21" t="s">
        <v>46</v>
      </c>
      <c r="D250" s="17" t="str">
        <f t="shared" si="6"/>
        <v>December-2019</v>
      </c>
      <c r="E250" s="21">
        <v>144.9</v>
      </c>
      <c r="F250" s="21">
        <v>164.5</v>
      </c>
      <c r="G250" s="21">
        <v>153.69999999999999</v>
      </c>
      <c r="H250" s="21">
        <v>147.5</v>
      </c>
      <c r="I250" s="21">
        <v>122.7</v>
      </c>
      <c r="J250" s="21">
        <v>147.19999999999999</v>
      </c>
      <c r="K250" s="21">
        <v>231.5</v>
      </c>
      <c r="L250" s="21">
        <v>137.19999999999999</v>
      </c>
      <c r="M250" s="21">
        <v>114.7</v>
      </c>
      <c r="N250" s="21">
        <v>148</v>
      </c>
      <c r="O250" s="21">
        <v>130.80000000000001</v>
      </c>
      <c r="P250" s="21">
        <v>157.69999999999999</v>
      </c>
      <c r="Q250" s="21">
        <v>156.30000000000001</v>
      </c>
      <c r="R250" s="21">
        <v>1956.7</v>
      </c>
      <c r="S250" s="21">
        <v>146.80000000000001</v>
      </c>
      <c r="T250" s="21">
        <v>132.80000000000001</v>
      </c>
      <c r="U250" s="21">
        <v>144.6</v>
      </c>
      <c r="V250" s="21">
        <v>424.20000000000005</v>
      </c>
      <c r="W250" s="21">
        <v>152.80000000000001</v>
      </c>
      <c r="X250" s="21">
        <v>139.80000000000001</v>
      </c>
      <c r="Y250" s="21">
        <v>292.60000000000002</v>
      </c>
      <c r="Z250" s="21">
        <v>143.19999999999999</v>
      </c>
      <c r="AA250" s="21">
        <v>140.19999999999999</v>
      </c>
      <c r="AB250" s="21">
        <f t="shared" si="7"/>
        <v>283.39999999999998</v>
      </c>
      <c r="AC250" s="21">
        <v>133.6</v>
      </c>
      <c r="AD250" s="21">
        <v>125.2</v>
      </c>
      <c r="AE250" s="21">
        <v>136.80000000000001</v>
      </c>
      <c r="AF250" s="21">
        <v>151.9</v>
      </c>
      <c r="AG250" s="21">
        <v>170.4</v>
      </c>
      <c r="AH250" s="21">
        <v>137.69999999999999</v>
      </c>
      <c r="AI250" s="21">
        <v>148.30000000000001</v>
      </c>
    </row>
    <row r="251" spans="1:35" x14ac:dyDescent="0.35">
      <c r="A251" s="21" t="s">
        <v>34</v>
      </c>
      <c r="B251" s="21">
        <v>2019</v>
      </c>
      <c r="C251" s="21" t="s">
        <v>46</v>
      </c>
      <c r="D251" s="17" t="str">
        <f t="shared" si="6"/>
        <v>December-2019</v>
      </c>
      <c r="E251" s="21">
        <v>143.5</v>
      </c>
      <c r="F251" s="21">
        <v>165</v>
      </c>
      <c r="G251" s="21">
        <v>151.1</v>
      </c>
      <c r="H251" s="21">
        <v>148.30000000000001</v>
      </c>
      <c r="I251" s="21">
        <v>125.7</v>
      </c>
      <c r="J251" s="21">
        <v>145.69999999999999</v>
      </c>
      <c r="K251" s="21">
        <v>217</v>
      </c>
      <c r="L251" s="21">
        <v>138.30000000000001</v>
      </c>
      <c r="M251" s="21">
        <v>114</v>
      </c>
      <c r="N251" s="21">
        <v>148.69999999999999</v>
      </c>
      <c r="O251" s="21">
        <v>135.80000000000001</v>
      </c>
      <c r="P251" s="21">
        <v>158</v>
      </c>
      <c r="Q251" s="21">
        <v>155</v>
      </c>
      <c r="R251" s="21">
        <v>1946.1000000000001</v>
      </c>
      <c r="S251" s="21">
        <v>150.30000000000001</v>
      </c>
      <c r="T251" s="21">
        <v>141.30000000000001</v>
      </c>
      <c r="U251" s="21">
        <v>149</v>
      </c>
      <c r="V251" s="21">
        <v>440.6</v>
      </c>
      <c r="W251" s="21">
        <v>152.80000000000001</v>
      </c>
      <c r="X251" s="21">
        <v>145.80000000000001</v>
      </c>
      <c r="Y251" s="21">
        <v>298.60000000000002</v>
      </c>
      <c r="Z251" s="21">
        <v>150.4</v>
      </c>
      <c r="AA251" s="21">
        <v>140.4</v>
      </c>
      <c r="AB251" s="21">
        <f t="shared" si="7"/>
        <v>290.8</v>
      </c>
      <c r="AC251" s="21">
        <v>143.69999999999999</v>
      </c>
      <c r="AD251" s="21">
        <v>129.80000000000001</v>
      </c>
      <c r="AE251" s="21">
        <v>142.30000000000001</v>
      </c>
      <c r="AF251" s="21">
        <v>155.69999999999999</v>
      </c>
      <c r="AG251" s="21">
        <v>168.5</v>
      </c>
      <c r="AH251" s="21">
        <v>142.5</v>
      </c>
      <c r="AI251" s="21">
        <v>150.4</v>
      </c>
    </row>
    <row r="252" spans="1:35" x14ac:dyDescent="0.35">
      <c r="A252" s="21" t="s">
        <v>30</v>
      </c>
      <c r="B252" s="21">
        <v>2020</v>
      </c>
      <c r="C252" s="21" t="s">
        <v>31</v>
      </c>
      <c r="D252" s="17" t="str">
        <f t="shared" si="6"/>
        <v>January-2020</v>
      </c>
      <c r="E252" s="21">
        <v>143.69999999999999</v>
      </c>
      <c r="F252" s="21">
        <v>167.3</v>
      </c>
      <c r="G252" s="21">
        <v>153.5</v>
      </c>
      <c r="H252" s="21">
        <v>150.5</v>
      </c>
      <c r="I252" s="21">
        <v>132</v>
      </c>
      <c r="J252" s="21">
        <v>142.19999999999999</v>
      </c>
      <c r="K252" s="21">
        <v>191.5</v>
      </c>
      <c r="L252" s="21">
        <v>141.1</v>
      </c>
      <c r="M252" s="21">
        <v>113.8</v>
      </c>
      <c r="N252" s="21">
        <v>151.6</v>
      </c>
      <c r="O252" s="21">
        <v>139.69999999999999</v>
      </c>
      <c r="P252" s="21">
        <v>158.69999999999999</v>
      </c>
      <c r="Q252" s="21">
        <v>153</v>
      </c>
      <c r="R252" s="21">
        <v>1938.6</v>
      </c>
      <c r="S252" s="21">
        <v>152.80000000000001</v>
      </c>
      <c r="T252" s="21">
        <v>147.4</v>
      </c>
      <c r="U252" s="21">
        <v>152.1</v>
      </c>
      <c r="V252" s="21">
        <v>452.30000000000007</v>
      </c>
      <c r="W252" s="21">
        <v>153.9</v>
      </c>
      <c r="X252" s="21">
        <v>151.69999999999999</v>
      </c>
      <c r="Y252" s="21">
        <v>305.60000000000002</v>
      </c>
      <c r="Z252" s="21">
        <v>155.69999999999999</v>
      </c>
      <c r="AA252" s="21">
        <v>142.5</v>
      </c>
      <c r="AB252" s="21">
        <f t="shared" si="7"/>
        <v>298.2</v>
      </c>
      <c r="AC252" s="21">
        <v>150.4</v>
      </c>
      <c r="AD252" s="21">
        <v>136.30000000000001</v>
      </c>
      <c r="AE252" s="21">
        <v>150.1</v>
      </c>
      <c r="AF252" s="21">
        <v>161.69999999999999</v>
      </c>
      <c r="AG252" s="21">
        <v>168.6</v>
      </c>
      <c r="AH252" s="21">
        <v>148.1</v>
      </c>
      <c r="AI252" s="21">
        <v>151.9</v>
      </c>
    </row>
    <row r="253" spans="1:35" x14ac:dyDescent="0.35">
      <c r="A253" s="21" t="s">
        <v>33</v>
      </c>
      <c r="B253" s="21">
        <v>2020</v>
      </c>
      <c r="C253" s="21" t="s">
        <v>31</v>
      </c>
      <c r="D253" s="17" t="str">
        <f t="shared" si="6"/>
        <v>January-2020</v>
      </c>
      <c r="E253" s="21">
        <v>145.6</v>
      </c>
      <c r="F253" s="21">
        <v>167.6</v>
      </c>
      <c r="G253" s="21">
        <v>157</v>
      </c>
      <c r="H253" s="21">
        <v>149.30000000000001</v>
      </c>
      <c r="I253" s="21">
        <v>126.3</v>
      </c>
      <c r="J253" s="21">
        <v>144.4</v>
      </c>
      <c r="K253" s="21">
        <v>207.8</v>
      </c>
      <c r="L253" s="21">
        <v>139.1</v>
      </c>
      <c r="M253" s="21">
        <v>114.8</v>
      </c>
      <c r="N253" s="21">
        <v>149.5</v>
      </c>
      <c r="O253" s="21">
        <v>131.1</v>
      </c>
      <c r="P253" s="21">
        <v>158.5</v>
      </c>
      <c r="Q253" s="21">
        <v>154.4</v>
      </c>
      <c r="R253" s="21">
        <v>1945.3999999999999</v>
      </c>
      <c r="S253" s="21">
        <v>147</v>
      </c>
      <c r="T253" s="21">
        <v>133.19999999999999</v>
      </c>
      <c r="U253" s="21">
        <v>144.9</v>
      </c>
      <c r="V253" s="21">
        <v>425.1</v>
      </c>
      <c r="W253" s="21">
        <v>153.9</v>
      </c>
      <c r="X253" s="21">
        <v>140.1</v>
      </c>
      <c r="Y253" s="21">
        <v>294</v>
      </c>
      <c r="Z253" s="21">
        <v>143.80000000000001</v>
      </c>
      <c r="AA253" s="21">
        <v>142.1</v>
      </c>
      <c r="AB253" s="21">
        <f t="shared" si="7"/>
        <v>285.89999999999998</v>
      </c>
      <c r="AC253" s="21">
        <v>135.1</v>
      </c>
      <c r="AD253" s="21">
        <v>126.1</v>
      </c>
      <c r="AE253" s="21">
        <v>137.19999999999999</v>
      </c>
      <c r="AF253" s="21">
        <v>152.1</v>
      </c>
      <c r="AG253" s="21">
        <v>170.8</v>
      </c>
      <c r="AH253" s="21">
        <v>138.4</v>
      </c>
      <c r="AI253" s="21">
        <v>148.19999999999999</v>
      </c>
    </row>
    <row r="254" spans="1:35" x14ac:dyDescent="0.35">
      <c r="A254" s="21" t="s">
        <v>34</v>
      </c>
      <c r="B254" s="21">
        <v>2020</v>
      </c>
      <c r="C254" s="21" t="s">
        <v>31</v>
      </c>
      <c r="D254" s="17" t="str">
        <f t="shared" si="6"/>
        <v>January-2020</v>
      </c>
      <c r="E254" s="21">
        <v>144.30000000000001</v>
      </c>
      <c r="F254" s="21">
        <v>167.4</v>
      </c>
      <c r="G254" s="21">
        <v>154.9</v>
      </c>
      <c r="H254" s="21">
        <v>150.1</v>
      </c>
      <c r="I254" s="21">
        <v>129.9</v>
      </c>
      <c r="J254" s="21">
        <v>143.19999999999999</v>
      </c>
      <c r="K254" s="21">
        <v>197</v>
      </c>
      <c r="L254" s="21">
        <v>140.4</v>
      </c>
      <c r="M254" s="21">
        <v>114.1</v>
      </c>
      <c r="N254" s="21">
        <v>150.9</v>
      </c>
      <c r="O254" s="21">
        <v>136.1</v>
      </c>
      <c r="P254" s="21">
        <v>158.6</v>
      </c>
      <c r="Q254" s="21">
        <v>153.5</v>
      </c>
      <c r="R254" s="21">
        <v>1940.3999999999999</v>
      </c>
      <c r="S254" s="21">
        <v>150.5</v>
      </c>
      <c r="T254" s="21">
        <v>141.5</v>
      </c>
      <c r="U254" s="21">
        <v>149.19999999999999</v>
      </c>
      <c r="V254" s="21">
        <v>441.2</v>
      </c>
      <c r="W254" s="21">
        <v>153.9</v>
      </c>
      <c r="X254" s="21">
        <v>146.19999999999999</v>
      </c>
      <c r="Y254" s="21">
        <v>300.10000000000002</v>
      </c>
      <c r="Z254" s="21">
        <v>151.19999999999999</v>
      </c>
      <c r="AA254" s="21">
        <v>142.30000000000001</v>
      </c>
      <c r="AB254" s="21">
        <f t="shared" si="7"/>
        <v>293.5</v>
      </c>
      <c r="AC254" s="21">
        <v>144.6</v>
      </c>
      <c r="AD254" s="21">
        <v>130.9</v>
      </c>
      <c r="AE254" s="21">
        <v>142.80000000000001</v>
      </c>
      <c r="AF254" s="21">
        <v>156.1</v>
      </c>
      <c r="AG254" s="21">
        <v>169.2</v>
      </c>
      <c r="AH254" s="21">
        <v>143.4</v>
      </c>
      <c r="AI254" s="21">
        <v>150.19999999999999</v>
      </c>
    </row>
    <row r="255" spans="1:35" x14ac:dyDescent="0.35">
      <c r="A255" s="21" t="s">
        <v>30</v>
      </c>
      <c r="B255" s="21">
        <v>2020</v>
      </c>
      <c r="C255" s="21" t="s">
        <v>35</v>
      </c>
      <c r="D255" s="17" t="str">
        <f t="shared" si="6"/>
        <v>February-2020</v>
      </c>
      <c r="E255" s="21">
        <v>144.19999999999999</v>
      </c>
      <c r="F255" s="21">
        <v>167.5</v>
      </c>
      <c r="G255" s="21">
        <v>150.9</v>
      </c>
      <c r="H255" s="21">
        <v>150.9</v>
      </c>
      <c r="I255" s="21">
        <v>133.69999999999999</v>
      </c>
      <c r="J255" s="21">
        <v>140.69999999999999</v>
      </c>
      <c r="K255" s="21">
        <v>165.1</v>
      </c>
      <c r="L255" s="21">
        <v>141.80000000000001</v>
      </c>
      <c r="M255" s="21">
        <v>113.1</v>
      </c>
      <c r="N255" s="21">
        <v>152.80000000000001</v>
      </c>
      <c r="O255" s="21">
        <v>140.1</v>
      </c>
      <c r="P255" s="21">
        <v>159.19999999999999</v>
      </c>
      <c r="Q255" s="21">
        <v>149.80000000000001</v>
      </c>
      <c r="R255" s="21">
        <v>1909.7999999999997</v>
      </c>
      <c r="S255" s="21">
        <v>153</v>
      </c>
      <c r="T255" s="21">
        <v>147.5</v>
      </c>
      <c r="U255" s="21">
        <v>152.30000000000001</v>
      </c>
      <c r="V255" s="21">
        <v>452.8</v>
      </c>
      <c r="W255" s="21">
        <v>154.80000000000001</v>
      </c>
      <c r="X255" s="21">
        <v>151.80000000000001</v>
      </c>
      <c r="Y255" s="21">
        <v>306.60000000000002</v>
      </c>
      <c r="Z255" s="21">
        <v>156.19999999999999</v>
      </c>
      <c r="AA255" s="21">
        <v>143.4</v>
      </c>
      <c r="AB255" s="21">
        <f t="shared" si="7"/>
        <v>299.60000000000002</v>
      </c>
      <c r="AC255" s="21">
        <v>152.30000000000001</v>
      </c>
      <c r="AD255" s="21">
        <v>136</v>
      </c>
      <c r="AE255" s="21">
        <v>150.4</v>
      </c>
      <c r="AF255" s="21">
        <v>161.9</v>
      </c>
      <c r="AG255" s="21">
        <v>169.4</v>
      </c>
      <c r="AH255" s="21">
        <v>148.4</v>
      </c>
      <c r="AI255" s="21">
        <v>150.4</v>
      </c>
    </row>
    <row r="256" spans="1:35" x14ac:dyDescent="0.35">
      <c r="A256" s="21" t="s">
        <v>33</v>
      </c>
      <c r="B256" s="21">
        <v>2020</v>
      </c>
      <c r="C256" s="21" t="s">
        <v>35</v>
      </c>
      <c r="D256" s="17" t="str">
        <f t="shared" si="6"/>
        <v>February-2020</v>
      </c>
      <c r="E256" s="21">
        <v>146.19999999999999</v>
      </c>
      <c r="F256" s="21">
        <v>167.6</v>
      </c>
      <c r="G256" s="21">
        <v>153.1</v>
      </c>
      <c r="H256" s="21">
        <v>150.69999999999999</v>
      </c>
      <c r="I256" s="21">
        <v>127.4</v>
      </c>
      <c r="J256" s="21">
        <v>143.1</v>
      </c>
      <c r="K256" s="21">
        <v>181.7</v>
      </c>
      <c r="L256" s="21">
        <v>139.6</v>
      </c>
      <c r="M256" s="21">
        <v>114.6</v>
      </c>
      <c r="N256" s="21">
        <v>150.4</v>
      </c>
      <c r="O256" s="21">
        <v>131.5</v>
      </c>
      <c r="P256" s="21">
        <v>159</v>
      </c>
      <c r="Q256" s="21">
        <v>151.69999999999999</v>
      </c>
      <c r="R256" s="21">
        <v>1916.6</v>
      </c>
      <c r="S256" s="21">
        <v>147.30000000000001</v>
      </c>
      <c r="T256" s="21">
        <v>133.5</v>
      </c>
      <c r="U256" s="21">
        <v>145.19999999999999</v>
      </c>
      <c r="V256" s="21">
        <v>426</v>
      </c>
      <c r="W256" s="21">
        <v>154.80000000000001</v>
      </c>
      <c r="X256" s="21">
        <v>140.4</v>
      </c>
      <c r="Y256" s="21">
        <v>295.20000000000005</v>
      </c>
      <c r="Z256" s="21">
        <v>144.4</v>
      </c>
      <c r="AA256" s="21">
        <v>143.5</v>
      </c>
      <c r="AB256" s="21">
        <f t="shared" si="7"/>
        <v>287.89999999999998</v>
      </c>
      <c r="AC256" s="21">
        <v>138.9</v>
      </c>
      <c r="AD256" s="21">
        <v>125.2</v>
      </c>
      <c r="AE256" s="21">
        <v>137.69999999999999</v>
      </c>
      <c r="AF256" s="21">
        <v>152.19999999999999</v>
      </c>
      <c r="AG256" s="21">
        <v>172</v>
      </c>
      <c r="AH256" s="21">
        <v>138.4</v>
      </c>
      <c r="AI256" s="21">
        <v>147.69999999999999</v>
      </c>
    </row>
    <row r="257" spans="1:35" x14ac:dyDescent="0.35">
      <c r="A257" s="21" t="s">
        <v>34</v>
      </c>
      <c r="B257" s="21">
        <v>2020</v>
      </c>
      <c r="C257" s="21" t="s">
        <v>35</v>
      </c>
      <c r="D257" s="17" t="str">
        <f t="shared" si="6"/>
        <v>February-2020</v>
      </c>
      <c r="E257" s="21">
        <v>144.80000000000001</v>
      </c>
      <c r="F257" s="21">
        <v>167.5</v>
      </c>
      <c r="G257" s="21">
        <v>151.80000000000001</v>
      </c>
      <c r="H257" s="21">
        <v>150.80000000000001</v>
      </c>
      <c r="I257" s="21">
        <v>131.4</v>
      </c>
      <c r="J257" s="21">
        <v>141.80000000000001</v>
      </c>
      <c r="K257" s="21">
        <v>170.7</v>
      </c>
      <c r="L257" s="21">
        <v>141.1</v>
      </c>
      <c r="M257" s="21">
        <v>113.6</v>
      </c>
      <c r="N257" s="21">
        <v>152</v>
      </c>
      <c r="O257" s="21">
        <v>136.5</v>
      </c>
      <c r="P257" s="21">
        <v>159.1</v>
      </c>
      <c r="Q257" s="21">
        <v>150.5</v>
      </c>
      <c r="R257" s="21">
        <v>1911.6</v>
      </c>
      <c r="S257" s="21">
        <v>150.80000000000001</v>
      </c>
      <c r="T257" s="21">
        <v>141.69999999999999</v>
      </c>
      <c r="U257" s="21">
        <v>149.5</v>
      </c>
      <c r="V257" s="21">
        <v>442</v>
      </c>
      <c r="W257" s="21">
        <v>154.80000000000001</v>
      </c>
      <c r="X257" s="21">
        <v>146.4</v>
      </c>
      <c r="Y257" s="21">
        <v>301.20000000000005</v>
      </c>
      <c r="Z257" s="21">
        <v>151.69999999999999</v>
      </c>
      <c r="AA257" s="21">
        <v>143.4</v>
      </c>
      <c r="AB257" s="21">
        <f t="shared" si="7"/>
        <v>295.10000000000002</v>
      </c>
      <c r="AC257" s="21">
        <v>147.19999999999999</v>
      </c>
      <c r="AD257" s="21">
        <v>130.30000000000001</v>
      </c>
      <c r="AE257" s="21">
        <v>143.19999999999999</v>
      </c>
      <c r="AF257" s="21">
        <v>156.19999999999999</v>
      </c>
      <c r="AG257" s="21">
        <v>170.1</v>
      </c>
      <c r="AH257" s="21">
        <v>143.6</v>
      </c>
      <c r="AI257" s="21">
        <v>149.1</v>
      </c>
    </row>
    <row r="258" spans="1:35" x14ac:dyDescent="0.35">
      <c r="A258" s="21" t="s">
        <v>30</v>
      </c>
      <c r="B258" s="21">
        <v>2020</v>
      </c>
      <c r="C258" s="21" t="s">
        <v>36</v>
      </c>
      <c r="D258" s="17" t="str">
        <f t="shared" si="6"/>
        <v>March-2020</v>
      </c>
      <c r="E258" s="21">
        <v>144.4</v>
      </c>
      <c r="F258" s="21">
        <v>166.8</v>
      </c>
      <c r="G258" s="21">
        <v>147.6</v>
      </c>
      <c r="H258" s="21">
        <v>151.69999999999999</v>
      </c>
      <c r="I258" s="21">
        <v>133.30000000000001</v>
      </c>
      <c r="J258" s="21">
        <v>141.80000000000001</v>
      </c>
      <c r="K258" s="21">
        <v>152.30000000000001</v>
      </c>
      <c r="L258" s="21">
        <v>141.80000000000001</v>
      </c>
      <c r="M258" s="21">
        <v>112.6</v>
      </c>
      <c r="N258" s="21">
        <v>154</v>
      </c>
      <c r="O258" s="21">
        <v>140.1</v>
      </c>
      <c r="P258" s="21">
        <v>160</v>
      </c>
      <c r="Q258" s="21">
        <v>148.19999999999999</v>
      </c>
      <c r="R258" s="21">
        <v>1894.5999999999997</v>
      </c>
      <c r="S258" s="21">
        <v>153.4</v>
      </c>
      <c r="T258" s="21">
        <v>147.6</v>
      </c>
      <c r="U258" s="21">
        <v>152.5</v>
      </c>
      <c r="V258" s="21">
        <v>453.5</v>
      </c>
      <c r="W258" s="21">
        <v>154.5</v>
      </c>
      <c r="X258" s="21">
        <v>151.5</v>
      </c>
      <c r="Y258" s="21">
        <v>306</v>
      </c>
      <c r="Z258" s="21">
        <v>156.69999999999999</v>
      </c>
      <c r="AA258" s="21">
        <v>145.1</v>
      </c>
      <c r="AB258" s="21">
        <f t="shared" si="7"/>
        <v>301.79999999999995</v>
      </c>
      <c r="AC258" s="21">
        <v>153.4</v>
      </c>
      <c r="AD258" s="21">
        <v>135.80000000000001</v>
      </c>
      <c r="AE258" s="21">
        <v>151.19999999999999</v>
      </c>
      <c r="AF258" s="21">
        <v>161.19999999999999</v>
      </c>
      <c r="AG258" s="21">
        <v>170.5</v>
      </c>
      <c r="AH258" s="21">
        <v>148.6</v>
      </c>
      <c r="AI258" s="21">
        <v>149.80000000000001</v>
      </c>
    </row>
    <row r="259" spans="1:35" x14ac:dyDescent="0.35">
      <c r="A259" s="21" t="s">
        <v>33</v>
      </c>
      <c r="B259" s="21">
        <v>2020</v>
      </c>
      <c r="C259" s="21" t="s">
        <v>36</v>
      </c>
      <c r="D259" s="17" t="str">
        <f t="shared" si="6"/>
        <v>March-2020</v>
      </c>
      <c r="E259" s="21">
        <v>146.5</v>
      </c>
      <c r="F259" s="21">
        <v>167.5</v>
      </c>
      <c r="G259" s="21">
        <v>148.9</v>
      </c>
      <c r="H259" s="21">
        <v>151.1</v>
      </c>
      <c r="I259" s="21">
        <v>127.5</v>
      </c>
      <c r="J259" s="21">
        <v>143.30000000000001</v>
      </c>
      <c r="K259" s="21">
        <v>167</v>
      </c>
      <c r="L259" s="21">
        <v>139.69999999999999</v>
      </c>
      <c r="M259" s="21">
        <v>114.4</v>
      </c>
      <c r="N259" s="21">
        <v>151.5</v>
      </c>
      <c r="O259" s="21">
        <v>131.9</v>
      </c>
      <c r="P259" s="21">
        <v>159.1</v>
      </c>
      <c r="Q259" s="21">
        <v>150.1</v>
      </c>
      <c r="R259" s="21">
        <v>1898.5</v>
      </c>
      <c r="S259" s="21">
        <v>147.69999999999999</v>
      </c>
      <c r="T259" s="21">
        <v>133.80000000000001</v>
      </c>
      <c r="U259" s="21">
        <v>145.6</v>
      </c>
      <c r="V259" s="21">
        <v>427.1</v>
      </c>
      <c r="W259" s="21">
        <v>154.5</v>
      </c>
      <c r="X259" s="21">
        <v>140.80000000000001</v>
      </c>
      <c r="Y259" s="21">
        <v>295.3</v>
      </c>
      <c r="Z259" s="21">
        <v>145</v>
      </c>
      <c r="AA259" s="21">
        <v>145.30000000000001</v>
      </c>
      <c r="AB259" s="21">
        <f t="shared" si="7"/>
        <v>290.3</v>
      </c>
      <c r="AC259" s="21">
        <v>141.4</v>
      </c>
      <c r="AD259" s="21">
        <v>124.6</v>
      </c>
      <c r="AE259" s="21">
        <v>137.9</v>
      </c>
      <c r="AF259" s="21">
        <v>152.5</v>
      </c>
      <c r="AG259" s="21">
        <v>173.3</v>
      </c>
      <c r="AH259" s="21">
        <v>138.69999999999999</v>
      </c>
      <c r="AI259" s="21">
        <v>147.30000000000001</v>
      </c>
    </row>
    <row r="260" spans="1:35" x14ac:dyDescent="0.35">
      <c r="A260" s="21" t="s">
        <v>34</v>
      </c>
      <c r="B260" s="21">
        <v>2020</v>
      </c>
      <c r="C260" s="21" t="s">
        <v>36</v>
      </c>
      <c r="D260" s="17" t="str">
        <f t="shared" ref="D260:D323" si="8">CONCATENATE(C260,"-",B260)</f>
        <v>March-2020</v>
      </c>
      <c r="E260" s="21">
        <v>145.1</v>
      </c>
      <c r="F260" s="21">
        <v>167</v>
      </c>
      <c r="G260" s="21">
        <v>148.1</v>
      </c>
      <c r="H260" s="21">
        <v>151.5</v>
      </c>
      <c r="I260" s="21">
        <v>131.19999999999999</v>
      </c>
      <c r="J260" s="21">
        <v>142.5</v>
      </c>
      <c r="K260" s="21">
        <v>157.30000000000001</v>
      </c>
      <c r="L260" s="21">
        <v>141.1</v>
      </c>
      <c r="M260" s="21">
        <v>113.2</v>
      </c>
      <c r="N260" s="21">
        <v>153.19999999999999</v>
      </c>
      <c r="O260" s="21">
        <v>136.69999999999999</v>
      </c>
      <c r="P260" s="21">
        <v>159.6</v>
      </c>
      <c r="Q260" s="21">
        <v>148.9</v>
      </c>
      <c r="R260" s="21">
        <v>1895.4</v>
      </c>
      <c r="S260" s="21">
        <v>151.19999999999999</v>
      </c>
      <c r="T260" s="21">
        <v>141.9</v>
      </c>
      <c r="U260" s="21">
        <v>149.80000000000001</v>
      </c>
      <c r="V260" s="21">
        <v>442.90000000000003</v>
      </c>
      <c r="W260" s="21">
        <v>154.5</v>
      </c>
      <c r="X260" s="21">
        <v>146.4</v>
      </c>
      <c r="Y260" s="21">
        <v>300.89999999999998</v>
      </c>
      <c r="Z260" s="21">
        <v>152.30000000000001</v>
      </c>
      <c r="AA260" s="21">
        <v>145.19999999999999</v>
      </c>
      <c r="AB260" s="21">
        <f t="shared" ref="AB260:AB323" si="9">SUM(Z260:AA260)</f>
        <v>297.5</v>
      </c>
      <c r="AC260" s="21">
        <v>148.9</v>
      </c>
      <c r="AD260" s="21">
        <v>129.9</v>
      </c>
      <c r="AE260" s="21">
        <v>143.69999999999999</v>
      </c>
      <c r="AF260" s="21">
        <v>156.1</v>
      </c>
      <c r="AG260" s="21">
        <v>171.2</v>
      </c>
      <c r="AH260" s="21">
        <v>143.80000000000001</v>
      </c>
      <c r="AI260" s="21">
        <v>148.6</v>
      </c>
    </row>
    <row r="261" spans="1:35" x14ac:dyDescent="0.35">
      <c r="A261" s="21" t="s">
        <v>30</v>
      </c>
      <c r="B261" s="21">
        <v>2020</v>
      </c>
      <c r="C261" s="21" t="s">
        <v>37</v>
      </c>
      <c r="D261" s="17" t="str">
        <f t="shared" si="8"/>
        <v>April-2020</v>
      </c>
      <c r="E261" s="21">
        <v>147.19999999999999</v>
      </c>
      <c r="F261" s="21" t="s">
        <v>32</v>
      </c>
      <c r="G261" s="21">
        <v>146.9</v>
      </c>
      <c r="H261" s="21">
        <v>155.6</v>
      </c>
      <c r="I261" s="21">
        <v>137.1</v>
      </c>
      <c r="J261" s="21">
        <v>147.30000000000001</v>
      </c>
      <c r="K261" s="21">
        <v>162.69999999999999</v>
      </c>
      <c r="L261" s="21">
        <v>150.19999999999999</v>
      </c>
      <c r="M261" s="21">
        <v>119.8</v>
      </c>
      <c r="N261" s="21">
        <v>158.69999999999999</v>
      </c>
      <c r="O261" s="21">
        <v>139.19999999999999</v>
      </c>
      <c r="P261" s="21" t="s">
        <v>32</v>
      </c>
      <c r="Q261" s="21">
        <v>150.1</v>
      </c>
      <c r="R261" s="21">
        <v>1614.8000000000002</v>
      </c>
      <c r="S261" s="21" t="s">
        <v>32</v>
      </c>
      <c r="T261" s="21" t="s">
        <v>32</v>
      </c>
      <c r="U261" s="21" t="s">
        <v>32</v>
      </c>
      <c r="V261" s="21">
        <v>0</v>
      </c>
      <c r="W261" s="21">
        <v>155.6</v>
      </c>
      <c r="X261" s="21" t="s">
        <v>32</v>
      </c>
      <c r="Y261" s="21">
        <v>155.6</v>
      </c>
      <c r="Z261" s="21">
        <v>154.30000000000001</v>
      </c>
      <c r="AA261" s="21" t="s">
        <v>32</v>
      </c>
      <c r="AB261" s="21">
        <f t="shared" si="9"/>
        <v>154.30000000000001</v>
      </c>
      <c r="AC261" s="21">
        <v>148.4</v>
      </c>
      <c r="AD261" s="21" t="s">
        <v>32</v>
      </c>
      <c r="AE261" s="21" t="s">
        <v>32</v>
      </c>
      <c r="AF261" s="21" t="s">
        <v>32</v>
      </c>
      <c r="AG261" s="21" t="s">
        <v>32</v>
      </c>
      <c r="AH261" s="21" t="s">
        <v>32</v>
      </c>
      <c r="AI261" s="21" t="s">
        <v>32</v>
      </c>
    </row>
    <row r="262" spans="1:35" x14ac:dyDescent="0.35">
      <c r="A262" s="21" t="s">
        <v>33</v>
      </c>
      <c r="B262" s="21">
        <v>2020</v>
      </c>
      <c r="C262" s="21" t="s">
        <v>37</v>
      </c>
      <c r="D262" s="17" t="str">
        <f t="shared" si="8"/>
        <v>April-2020</v>
      </c>
      <c r="E262" s="21">
        <v>151.80000000000001</v>
      </c>
      <c r="F262" s="21" t="s">
        <v>32</v>
      </c>
      <c r="G262" s="21">
        <v>151.9</v>
      </c>
      <c r="H262" s="21">
        <v>155.5</v>
      </c>
      <c r="I262" s="21">
        <v>131.6</v>
      </c>
      <c r="J262" s="21">
        <v>152.9</v>
      </c>
      <c r="K262" s="21">
        <v>180</v>
      </c>
      <c r="L262" s="21">
        <v>150.80000000000001</v>
      </c>
      <c r="M262" s="21">
        <v>121.2</v>
      </c>
      <c r="N262" s="21">
        <v>154</v>
      </c>
      <c r="O262" s="21">
        <v>133.5</v>
      </c>
      <c r="P262" s="21" t="s">
        <v>32</v>
      </c>
      <c r="Q262" s="21">
        <v>153.5</v>
      </c>
      <c r="R262" s="21">
        <v>1636.7</v>
      </c>
      <c r="S262" s="21" t="s">
        <v>32</v>
      </c>
      <c r="T262" s="21" t="s">
        <v>32</v>
      </c>
      <c r="U262" s="21" t="s">
        <v>32</v>
      </c>
      <c r="V262" s="21">
        <v>0</v>
      </c>
      <c r="W262" s="21">
        <v>155.6</v>
      </c>
      <c r="X262" s="21" t="s">
        <v>32</v>
      </c>
      <c r="Y262" s="21">
        <v>155.6</v>
      </c>
      <c r="Z262" s="21">
        <v>144.80000000000001</v>
      </c>
      <c r="AA262" s="21" t="s">
        <v>32</v>
      </c>
      <c r="AB262" s="21">
        <f t="shared" si="9"/>
        <v>144.80000000000001</v>
      </c>
      <c r="AC262" s="21">
        <v>137.1</v>
      </c>
      <c r="AD262" s="21" t="s">
        <v>32</v>
      </c>
      <c r="AE262" s="21" t="s">
        <v>32</v>
      </c>
      <c r="AF262" s="21" t="s">
        <v>32</v>
      </c>
      <c r="AG262" s="21" t="s">
        <v>32</v>
      </c>
      <c r="AH262" s="21" t="s">
        <v>32</v>
      </c>
      <c r="AI262" s="21" t="s">
        <v>32</v>
      </c>
    </row>
    <row r="263" spans="1:35" x14ac:dyDescent="0.35">
      <c r="A263" s="21" t="s">
        <v>34</v>
      </c>
      <c r="B263" s="21">
        <v>2020</v>
      </c>
      <c r="C263" s="21" t="s">
        <v>37</v>
      </c>
      <c r="D263" s="17" t="str">
        <f t="shared" si="8"/>
        <v>April-2020</v>
      </c>
      <c r="E263" s="21">
        <v>148.69999999999999</v>
      </c>
      <c r="F263" s="21" t="s">
        <v>32</v>
      </c>
      <c r="G263" s="21">
        <v>148.80000000000001</v>
      </c>
      <c r="H263" s="21">
        <v>155.6</v>
      </c>
      <c r="I263" s="21">
        <v>135.1</v>
      </c>
      <c r="J263" s="21">
        <v>149.9</v>
      </c>
      <c r="K263" s="21">
        <v>168.6</v>
      </c>
      <c r="L263" s="21">
        <v>150.4</v>
      </c>
      <c r="M263" s="21">
        <v>120.3</v>
      </c>
      <c r="N263" s="21">
        <v>157.1</v>
      </c>
      <c r="O263" s="21">
        <v>136.80000000000001</v>
      </c>
      <c r="P263" s="21" t="s">
        <v>32</v>
      </c>
      <c r="Q263" s="21">
        <v>151.4</v>
      </c>
      <c r="R263" s="21">
        <v>1622.7</v>
      </c>
      <c r="S263" s="21" t="s">
        <v>32</v>
      </c>
      <c r="T263" s="21" t="s">
        <v>32</v>
      </c>
      <c r="U263" s="21" t="s">
        <v>32</v>
      </c>
      <c r="V263" s="21">
        <v>0</v>
      </c>
      <c r="W263" s="21">
        <v>155.6</v>
      </c>
      <c r="X263" s="21" t="s">
        <v>32</v>
      </c>
      <c r="Y263" s="21">
        <v>155.6</v>
      </c>
      <c r="Z263" s="21">
        <v>150.69999999999999</v>
      </c>
      <c r="AA263" s="21" t="s">
        <v>32</v>
      </c>
      <c r="AB263" s="21">
        <f t="shared" si="9"/>
        <v>150.69999999999999</v>
      </c>
      <c r="AC263" s="21">
        <v>144.1</v>
      </c>
      <c r="AD263" s="21" t="s">
        <v>32</v>
      </c>
      <c r="AE263" s="21" t="s">
        <v>32</v>
      </c>
      <c r="AF263" s="21" t="s">
        <v>32</v>
      </c>
      <c r="AG263" s="21" t="s">
        <v>32</v>
      </c>
      <c r="AH263" s="21" t="s">
        <v>32</v>
      </c>
      <c r="AI263" s="21" t="s">
        <v>32</v>
      </c>
    </row>
    <row r="264" spans="1:35" x14ac:dyDescent="0.35">
      <c r="A264" s="21" t="s">
        <v>30</v>
      </c>
      <c r="B264" s="21">
        <v>2020</v>
      </c>
      <c r="C264" s="21" t="s">
        <v>38</v>
      </c>
      <c r="D264" s="17" t="str">
        <f t="shared" si="8"/>
        <v>May-2020</v>
      </c>
      <c r="E264" s="21" t="s">
        <v>32</v>
      </c>
      <c r="F264" s="21" t="s">
        <v>32</v>
      </c>
      <c r="G264" s="21" t="s">
        <v>32</v>
      </c>
      <c r="H264" s="21" t="s">
        <v>32</v>
      </c>
      <c r="I264" s="21" t="s">
        <v>32</v>
      </c>
      <c r="J264" s="21" t="s">
        <v>32</v>
      </c>
      <c r="K264" s="21" t="s">
        <v>32</v>
      </c>
      <c r="L264" s="21" t="s">
        <v>32</v>
      </c>
      <c r="M264" s="21" t="s">
        <v>32</v>
      </c>
      <c r="N264" s="21" t="s">
        <v>32</v>
      </c>
      <c r="O264" s="21" t="s">
        <v>32</v>
      </c>
      <c r="P264" s="21" t="s">
        <v>32</v>
      </c>
      <c r="Q264" s="21" t="s">
        <v>32</v>
      </c>
      <c r="R264" s="21">
        <v>0</v>
      </c>
      <c r="S264" s="21" t="s">
        <v>32</v>
      </c>
      <c r="T264" s="21" t="s">
        <v>32</v>
      </c>
      <c r="U264" s="21" t="s">
        <v>32</v>
      </c>
      <c r="V264" s="21">
        <v>0</v>
      </c>
      <c r="W264" s="21" t="s">
        <v>32</v>
      </c>
      <c r="X264" s="21" t="s">
        <v>32</v>
      </c>
      <c r="Y264" s="21">
        <v>0</v>
      </c>
      <c r="Z264" s="21" t="s">
        <v>32</v>
      </c>
      <c r="AA264" s="21" t="s">
        <v>32</v>
      </c>
      <c r="AB264" s="21">
        <f t="shared" si="9"/>
        <v>0</v>
      </c>
      <c r="AC264" s="21" t="s">
        <v>32</v>
      </c>
      <c r="AD264" s="21" t="s">
        <v>32</v>
      </c>
      <c r="AE264" s="21" t="s">
        <v>32</v>
      </c>
      <c r="AF264" s="21" t="s">
        <v>32</v>
      </c>
      <c r="AG264" s="21" t="s">
        <v>32</v>
      </c>
      <c r="AH264" s="21" t="s">
        <v>32</v>
      </c>
      <c r="AI264" s="21" t="s">
        <v>32</v>
      </c>
    </row>
    <row r="265" spans="1:35" x14ac:dyDescent="0.35">
      <c r="A265" s="21" t="s">
        <v>33</v>
      </c>
      <c r="B265" s="21">
        <v>2020</v>
      </c>
      <c r="C265" s="21" t="s">
        <v>38</v>
      </c>
      <c r="D265" s="17" t="str">
        <f t="shared" si="8"/>
        <v>May-2020</v>
      </c>
      <c r="E265" s="21" t="s">
        <v>32</v>
      </c>
      <c r="F265" s="21" t="s">
        <v>32</v>
      </c>
      <c r="G265" s="21" t="s">
        <v>32</v>
      </c>
      <c r="H265" s="21" t="s">
        <v>32</v>
      </c>
      <c r="I265" s="21" t="s">
        <v>32</v>
      </c>
      <c r="J265" s="21" t="s">
        <v>32</v>
      </c>
      <c r="K265" s="21" t="s">
        <v>32</v>
      </c>
      <c r="L265" s="21" t="s">
        <v>32</v>
      </c>
      <c r="M265" s="21" t="s">
        <v>32</v>
      </c>
      <c r="N265" s="21" t="s">
        <v>32</v>
      </c>
      <c r="O265" s="21" t="s">
        <v>32</v>
      </c>
      <c r="P265" s="21" t="s">
        <v>32</v>
      </c>
      <c r="Q265" s="21" t="s">
        <v>32</v>
      </c>
      <c r="R265" s="21">
        <v>0</v>
      </c>
      <c r="S265" s="21" t="s">
        <v>32</v>
      </c>
      <c r="T265" s="21" t="s">
        <v>32</v>
      </c>
      <c r="U265" s="21" t="s">
        <v>32</v>
      </c>
      <c r="V265" s="21">
        <v>0</v>
      </c>
      <c r="W265" s="21" t="s">
        <v>32</v>
      </c>
      <c r="X265" s="21" t="s">
        <v>32</v>
      </c>
      <c r="Y265" s="21">
        <v>0</v>
      </c>
      <c r="Z265" s="21" t="s">
        <v>32</v>
      </c>
      <c r="AA265" s="21" t="s">
        <v>32</v>
      </c>
      <c r="AB265" s="21">
        <f t="shared" si="9"/>
        <v>0</v>
      </c>
      <c r="AC265" s="21" t="s">
        <v>32</v>
      </c>
      <c r="AD265" s="21" t="s">
        <v>32</v>
      </c>
      <c r="AE265" s="21" t="s">
        <v>32</v>
      </c>
      <c r="AF265" s="21" t="s">
        <v>32</v>
      </c>
      <c r="AG265" s="21" t="s">
        <v>32</v>
      </c>
      <c r="AH265" s="21" t="s">
        <v>32</v>
      </c>
      <c r="AI265" s="21" t="s">
        <v>32</v>
      </c>
    </row>
    <row r="266" spans="1:35" x14ac:dyDescent="0.35">
      <c r="A266" s="21" t="s">
        <v>34</v>
      </c>
      <c r="B266" s="21">
        <v>2020</v>
      </c>
      <c r="C266" s="21" t="s">
        <v>38</v>
      </c>
      <c r="D266" s="17" t="str">
        <f t="shared" si="8"/>
        <v>May-2020</v>
      </c>
      <c r="E266" s="21" t="s">
        <v>32</v>
      </c>
      <c r="F266" s="21" t="s">
        <v>32</v>
      </c>
      <c r="G266" s="21" t="s">
        <v>32</v>
      </c>
      <c r="H266" s="21" t="s">
        <v>32</v>
      </c>
      <c r="I266" s="21" t="s">
        <v>32</v>
      </c>
      <c r="J266" s="21" t="s">
        <v>32</v>
      </c>
      <c r="K266" s="21" t="s">
        <v>32</v>
      </c>
      <c r="L266" s="21" t="s">
        <v>32</v>
      </c>
      <c r="M266" s="21" t="s">
        <v>32</v>
      </c>
      <c r="N266" s="21" t="s">
        <v>32</v>
      </c>
      <c r="O266" s="21" t="s">
        <v>32</v>
      </c>
      <c r="P266" s="21" t="s">
        <v>32</v>
      </c>
      <c r="Q266" s="21" t="s">
        <v>32</v>
      </c>
      <c r="R266" s="21">
        <v>0</v>
      </c>
      <c r="S266" s="21" t="s">
        <v>32</v>
      </c>
      <c r="T266" s="21" t="s">
        <v>32</v>
      </c>
      <c r="U266" s="21" t="s">
        <v>32</v>
      </c>
      <c r="V266" s="21">
        <v>0</v>
      </c>
      <c r="W266" s="21" t="s">
        <v>32</v>
      </c>
      <c r="X266" s="21" t="s">
        <v>32</v>
      </c>
      <c r="Y266" s="21">
        <v>0</v>
      </c>
      <c r="Z266" s="21" t="s">
        <v>32</v>
      </c>
      <c r="AA266" s="21" t="s">
        <v>32</v>
      </c>
      <c r="AB266" s="21">
        <f t="shared" si="9"/>
        <v>0</v>
      </c>
      <c r="AC266" s="21" t="s">
        <v>32</v>
      </c>
      <c r="AD266" s="21" t="s">
        <v>32</v>
      </c>
      <c r="AE266" s="21" t="s">
        <v>32</v>
      </c>
      <c r="AF266" s="21" t="s">
        <v>32</v>
      </c>
      <c r="AG266" s="21" t="s">
        <v>32</v>
      </c>
      <c r="AH266" s="21" t="s">
        <v>32</v>
      </c>
      <c r="AI266" s="21" t="s">
        <v>32</v>
      </c>
    </row>
    <row r="267" spans="1:35" x14ac:dyDescent="0.35">
      <c r="A267" s="21" t="s">
        <v>30</v>
      </c>
      <c r="B267" s="21">
        <v>2020</v>
      </c>
      <c r="C267" s="21" t="s">
        <v>39</v>
      </c>
      <c r="D267" s="17" t="str">
        <f t="shared" si="8"/>
        <v>June-2020</v>
      </c>
      <c r="E267" s="21">
        <v>148.19999999999999</v>
      </c>
      <c r="F267" s="21">
        <v>190.3</v>
      </c>
      <c r="G267" s="21">
        <v>149.4</v>
      </c>
      <c r="H267" s="21">
        <v>153.30000000000001</v>
      </c>
      <c r="I267" s="21">
        <v>138.19999999999999</v>
      </c>
      <c r="J267" s="21">
        <v>143.19999999999999</v>
      </c>
      <c r="K267" s="21">
        <v>148.9</v>
      </c>
      <c r="L267" s="21">
        <v>150.30000000000001</v>
      </c>
      <c r="M267" s="21">
        <v>113.2</v>
      </c>
      <c r="N267" s="21">
        <v>159.80000000000001</v>
      </c>
      <c r="O267" s="21">
        <v>142.1</v>
      </c>
      <c r="P267" s="21">
        <v>161.80000000000001</v>
      </c>
      <c r="Q267" s="21">
        <v>152.30000000000001</v>
      </c>
      <c r="R267" s="21">
        <v>1951</v>
      </c>
      <c r="S267" s="21">
        <v>154.69999999999999</v>
      </c>
      <c r="T267" s="21">
        <v>150</v>
      </c>
      <c r="U267" s="21">
        <v>154.1</v>
      </c>
      <c r="V267" s="21">
        <v>458.79999999999995</v>
      </c>
      <c r="W267" s="21">
        <v>154.69999999999999</v>
      </c>
      <c r="X267" s="21">
        <v>151.69999999999999</v>
      </c>
      <c r="Y267" s="21">
        <v>306.39999999999998</v>
      </c>
      <c r="Z267" s="21">
        <v>158.19999999999999</v>
      </c>
      <c r="AA267" s="21">
        <v>151.19999999999999</v>
      </c>
      <c r="AB267" s="21">
        <f t="shared" si="9"/>
        <v>309.39999999999998</v>
      </c>
      <c r="AC267" s="21">
        <v>144.9</v>
      </c>
      <c r="AD267" s="21">
        <v>141.4</v>
      </c>
      <c r="AE267" s="21">
        <v>153.19999999999999</v>
      </c>
      <c r="AF267" s="21">
        <v>161.80000000000001</v>
      </c>
      <c r="AG267" s="21">
        <v>182.4</v>
      </c>
      <c r="AH267" s="21">
        <v>151.69999999999999</v>
      </c>
      <c r="AI267" s="21">
        <v>152.69999999999999</v>
      </c>
    </row>
    <row r="268" spans="1:35" x14ac:dyDescent="0.35">
      <c r="A268" s="21" t="s">
        <v>33</v>
      </c>
      <c r="B268" s="21">
        <v>2020</v>
      </c>
      <c r="C268" s="21" t="s">
        <v>39</v>
      </c>
      <c r="D268" s="17" t="str">
        <f t="shared" si="8"/>
        <v>June-2020</v>
      </c>
      <c r="E268" s="21">
        <v>152.69999999999999</v>
      </c>
      <c r="F268" s="21">
        <v>197</v>
      </c>
      <c r="G268" s="21">
        <v>154.6</v>
      </c>
      <c r="H268" s="21">
        <v>153.4</v>
      </c>
      <c r="I268" s="21">
        <v>132.9</v>
      </c>
      <c r="J268" s="21">
        <v>151.80000000000001</v>
      </c>
      <c r="K268" s="21">
        <v>171.2</v>
      </c>
      <c r="L268" s="21">
        <v>152</v>
      </c>
      <c r="M268" s="21">
        <v>116.3</v>
      </c>
      <c r="N268" s="21">
        <v>158.80000000000001</v>
      </c>
      <c r="O268" s="21">
        <v>135.6</v>
      </c>
      <c r="P268" s="21">
        <v>161.69999999999999</v>
      </c>
      <c r="Q268" s="21">
        <v>157</v>
      </c>
      <c r="R268" s="21">
        <v>1994.9999999999998</v>
      </c>
      <c r="S268" s="21">
        <v>149.1</v>
      </c>
      <c r="T268" s="21">
        <v>136.6</v>
      </c>
      <c r="U268" s="21">
        <v>147.19999999999999</v>
      </c>
      <c r="V268" s="21">
        <v>432.9</v>
      </c>
      <c r="W268" s="21">
        <v>154.69999999999999</v>
      </c>
      <c r="X268" s="21">
        <v>140.4</v>
      </c>
      <c r="Y268" s="21">
        <v>295.10000000000002</v>
      </c>
      <c r="Z268" s="21">
        <v>148.1</v>
      </c>
      <c r="AA268" s="21">
        <v>152.19999999999999</v>
      </c>
      <c r="AB268" s="21">
        <f t="shared" si="9"/>
        <v>300.29999999999995</v>
      </c>
      <c r="AC268" s="21">
        <v>137.1</v>
      </c>
      <c r="AD268" s="21">
        <v>129.30000000000001</v>
      </c>
      <c r="AE268" s="21">
        <v>144.5</v>
      </c>
      <c r="AF268" s="21">
        <v>152.5</v>
      </c>
      <c r="AG268" s="21">
        <v>186.7</v>
      </c>
      <c r="AH268" s="21">
        <v>142</v>
      </c>
      <c r="AI268" s="21">
        <v>150.80000000000001</v>
      </c>
    </row>
    <row r="269" spans="1:35" x14ac:dyDescent="0.35">
      <c r="A269" s="21" t="s">
        <v>34</v>
      </c>
      <c r="B269" s="21">
        <v>2020</v>
      </c>
      <c r="C269" s="21" t="s">
        <v>39</v>
      </c>
      <c r="D269" s="17" t="str">
        <f t="shared" si="8"/>
        <v>June-2020</v>
      </c>
      <c r="E269" s="21">
        <v>149.6</v>
      </c>
      <c r="F269" s="21">
        <v>192.7</v>
      </c>
      <c r="G269" s="21">
        <v>151.4</v>
      </c>
      <c r="H269" s="21">
        <v>153.30000000000001</v>
      </c>
      <c r="I269" s="21">
        <v>136.30000000000001</v>
      </c>
      <c r="J269" s="21">
        <v>147.19999999999999</v>
      </c>
      <c r="K269" s="21">
        <v>156.5</v>
      </c>
      <c r="L269" s="21">
        <v>150.9</v>
      </c>
      <c r="M269" s="21">
        <v>114.2</v>
      </c>
      <c r="N269" s="21">
        <v>159.5</v>
      </c>
      <c r="O269" s="21">
        <v>139.4</v>
      </c>
      <c r="P269" s="21">
        <v>161.80000000000001</v>
      </c>
      <c r="Q269" s="21">
        <v>154</v>
      </c>
      <c r="R269" s="21">
        <v>1966.8000000000002</v>
      </c>
      <c r="S269" s="21">
        <v>152.5</v>
      </c>
      <c r="T269" s="21">
        <v>144.4</v>
      </c>
      <c r="U269" s="21">
        <v>151.4</v>
      </c>
      <c r="V269" s="21">
        <v>448.29999999999995</v>
      </c>
      <c r="W269" s="21">
        <v>154.69999999999999</v>
      </c>
      <c r="X269" s="21">
        <v>146.4</v>
      </c>
      <c r="Y269" s="21">
        <v>301.10000000000002</v>
      </c>
      <c r="Z269" s="21">
        <v>154.4</v>
      </c>
      <c r="AA269" s="21">
        <v>151.6</v>
      </c>
      <c r="AB269" s="21">
        <f t="shared" si="9"/>
        <v>306</v>
      </c>
      <c r="AC269" s="21">
        <v>141.9</v>
      </c>
      <c r="AD269" s="21">
        <v>135</v>
      </c>
      <c r="AE269" s="21">
        <v>148.30000000000001</v>
      </c>
      <c r="AF269" s="21">
        <v>156.4</v>
      </c>
      <c r="AG269" s="21">
        <v>183.5</v>
      </c>
      <c r="AH269" s="21">
        <v>147</v>
      </c>
      <c r="AI269" s="21">
        <v>151.80000000000001</v>
      </c>
    </row>
    <row r="270" spans="1:35" x14ac:dyDescent="0.35">
      <c r="A270" s="21" t="s">
        <v>30</v>
      </c>
      <c r="B270" s="21">
        <v>2020</v>
      </c>
      <c r="C270" s="21" t="s">
        <v>40</v>
      </c>
      <c r="D270" s="17" t="str">
        <f t="shared" si="8"/>
        <v>July-2020</v>
      </c>
      <c r="E270" s="21">
        <v>148.19999999999999</v>
      </c>
      <c r="F270" s="21">
        <v>190.3</v>
      </c>
      <c r="G270" s="21">
        <v>149.4</v>
      </c>
      <c r="H270" s="21">
        <v>153.30000000000001</v>
      </c>
      <c r="I270" s="21">
        <v>138.19999999999999</v>
      </c>
      <c r="J270" s="21">
        <v>143.19999999999999</v>
      </c>
      <c r="K270" s="21">
        <v>148.9</v>
      </c>
      <c r="L270" s="21">
        <v>150.30000000000001</v>
      </c>
      <c r="M270" s="21">
        <v>113.2</v>
      </c>
      <c r="N270" s="21">
        <v>159.80000000000001</v>
      </c>
      <c r="O270" s="21">
        <v>142.1</v>
      </c>
      <c r="P270" s="21">
        <v>161.80000000000001</v>
      </c>
      <c r="Q270" s="21">
        <v>152.30000000000001</v>
      </c>
      <c r="R270" s="21">
        <v>1951</v>
      </c>
      <c r="S270" s="21">
        <v>154.69999999999999</v>
      </c>
      <c r="T270" s="21">
        <v>150</v>
      </c>
      <c r="U270" s="21">
        <v>154.1</v>
      </c>
      <c r="V270" s="21">
        <v>458.79999999999995</v>
      </c>
      <c r="W270" s="21">
        <v>154.69999999999999</v>
      </c>
      <c r="X270" s="21">
        <v>151.69999999999999</v>
      </c>
      <c r="Y270" s="21">
        <v>306.39999999999998</v>
      </c>
      <c r="Z270" s="21">
        <v>158.19999999999999</v>
      </c>
      <c r="AA270" s="21">
        <v>151.19999999999999</v>
      </c>
      <c r="AB270" s="21">
        <f t="shared" si="9"/>
        <v>309.39999999999998</v>
      </c>
      <c r="AC270" s="21">
        <v>144.9</v>
      </c>
      <c r="AD270" s="21">
        <v>141.4</v>
      </c>
      <c r="AE270" s="21">
        <v>153.19999999999999</v>
      </c>
      <c r="AF270" s="21">
        <v>161.80000000000001</v>
      </c>
      <c r="AG270" s="21">
        <v>182.4</v>
      </c>
      <c r="AH270" s="21">
        <v>151.69999999999999</v>
      </c>
      <c r="AI270" s="21">
        <v>152.69999999999999</v>
      </c>
    </row>
    <row r="271" spans="1:35" x14ac:dyDescent="0.35">
      <c r="A271" s="21" t="s">
        <v>33</v>
      </c>
      <c r="B271" s="21">
        <v>2020</v>
      </c>
      <c r="C271" s="21" t="s">
        <v>40</v>
      </c>
      <c r="D271" s="17" t="str">
        <f t="shared" si="8"/>
        <v>July-2020</v>
      </c>
      <c r="E271" s="21">
        <v>152.69999999999999</v>
      </c>
      <c r="F271" s="21">
        <v>197</v>
      </c>
      <c r="G271" s="21">
        <v>154.6</v>
      </c>
      <c r="H271" s="21">
        <v>153.4</v>
      </c>
      <c r="I271" s="21">
        <v>132.9</v>
      </c>
      <c r="J271" s="21">
        <v>151.80000000000001</v>
      </c>
      <c r="K271" s="21">
        <v>171.2</v>
      </c>
      <c r="L271" s="21">
        <v>152</v>
      </c>
      <c r="M271" s="21">
        <v>116.3</v>
      </c>
      <c r="N271" s="21">
        <v>158.80000000000001</v>
      </c>
      <c r="O271" s="21">
        <v>135.6</v>
      </c>
      <c r="P271" s="21">
        <v>161.69999999999999</v>
      </c>
      <c r="Q271" s="21">
        <v>157</v>
      </c>
      <c r="R271" s="21">
        <v>1994.9999999999998</v>
      </c>
      <c r="S271" s="21">
        <v>149.1</v>
      </c>
      <c r="T271" s="21">
        <v>136.6</v>
      </c>
      <c r="U271" s="21">
        <v>147.19999999999999</v>
      </c>
      <c r="V271" s="21">
        <v>432.9</v>
      </c>
      <c r="W271" s="21">
        <v>154.69999999999999</v>
      </c>
      <c r="X271" s="21">
        <v>140.4</v>
      </c>
      <c r="Y271" s="21">
        <v>295.10000000000002</v>
      </c>
      <c r="Z271" s="21">
        <v>148.1</v>
      </c>
      <c r="AA271" s="21">
        <v>152.19999999999999</v>
      </c>
      <c r="AB271" s="21">
        <f t="shared" si="9"/>
        <v>300.29999999999995</v>
      </c>
      <c r="AC271" s="21">
        <v>137.1</v>
      </c>
      <c r="AD271" s="21">
        <v>129.30000000000001</v>
      </c>
      <c r="AE271" s="21">
        <v>144.5</v>
      </c>
      <c r="AF271" s="21">
        <v>152.5</v>
      </c>
      <c r="AG271" s="21">
        <v>186.7</v>
      </c>
      <c r="AH271" s="21">
        <v>142</v>
      </c>
      <c r="AI271" s="21">
        <v>150.80000000000001</v>
      </c>
    </row>
    <row r="272" spans="1:35" x14ac:dyDescent="0.35">
      <c r="A272" s="21" t="s">
        <v>34</v>
      </c>
      <c r="B272" s="21">
        <v>2020</v>
      </c>
      <c r="C272" s="21" t="s">
        <v>40</v>
      </c>
      <c r="D272" s="17" t="str">
        <f t="shared" si="8"/>
        <v>July-2020</v>
      </c>
      <c r="E272" s="21">
        <v>149.6</v>
      </c>
      <c r="F272" s="21">
        <v>192.7</v>
      </c>
      <c r="G272" s="21">
        <v>151.4</v>
      </c>
      <c r="H272" s="21">
        <v>153.30000000000001</v>
      </c>
      <c r="I272" s="21">
        <v>136.30000000000001</v>
      </c>
      <c r="J272" s="21">
        <v>147.19999999999999</v>
      </c>
      <c r="K272" s="21">
        <v>156.5</v>
      </c>
      <c r="L272" s="21">
        <v>150.9</v>
      </c>
      <c r="M272" s="21">
        <v>114.2</v>
      </c>
      <c r="N272" s="21">
        <v>159.5</v>
      </c>
      <c r="O272" s="21">
        <v>139.4</v>
      </c>
      <c r="P272" s="21">
        <v>161.80000000000001</v>
      </c>
      <c r="Q272" s="21">
        <v>154</v>
      </c>
      <c r="R272" s="21">
        <v>1966.8000000000002</v>
      </c>
      <c r="S272" s="21">
        <v>152.5</v>
      </c>
      <c r="T272" s="21">
        <v>144.4</v>
      </c>
      <c r="U272" s="21">
        <v>151.4</v>
      </c>
      <c r="V272" s="21">
        <v>448.29999999999995</v>
      </c>
      <c r="W272" s="21">
        <v>154.69999999999999</v>
      </c>
      <c r="X272" s="21">
        <v>146.4</v>
      </c>
      <c r="Y272" s="21">
        <v>301.10000000000002</v>
      </c>
      <c r="Z272" s="21">
        <v>154.4</v>
      </c>
      <c r="AA272" s="21">
        <v>151.6</v>
      </c>
      <c r="AB272" s="21">
        <f t="shared" si="9"/>
        <v>306</v>
      </c>
      <c r="AC272" s="21">
        <v>141.9</v>
      </c>
      <c r="AD272" s="21">
        <v>135</v>
      </c>
      <c r="AE272" s="21">
        <v>148.30000000000001</v>
      </c>
      <c r="AF272" s="21">
        <v>156.4</v>
      </c>
      <c r="AG272" s="21">
        <v>183.5</v>
      </c>
      <c r="AH272" s="21">
        <v>147</v>
      </c>
      <c r="AI272" s="21">
        <v>151.80000000000001</v>
      </c>
    </row>
    <row r="273" spans="1:35" x14ac:dyDescent="0.35">
      <c r="A273" s="21" t="s">
        <v>30</v>
      </c>
      <c r="B273" s="21">
        <v>2020</v>
      </c>
      <c r="C273" s="21" t="s">
        <v>41</v>
      </c>
      <c r="D273" s="17" t="str">
        <f t="shared" si="8"/>
        <v>August-2020</v>
      </c>
      <c r="E273" s="21">
        <v>147.6</v>
      </c>
      <c r="F273" s="21">
        <v>187.2</v>
      </c>
      <c r="G273" s="21">
        <v>148.4</v>
      </c>
      <c r="H273" s="21">
        <v>153.30000000000001</v>
      </c>
      <c r="I273" s="21">
        <v>139.80000000000001</v>
      </c>
      <c r="J273" s="21">
        <v>146.9</v>
      </c>
      <c r="K273" s="21">
        <v>171</v>
      </c>
      <c r="L273" s="21">
        <v>149.9</v>
      </c>
      <c r="M273" s="21">
        <v>114.2</v>
      </c>
      <c r="N273" s="21">
        <v>160</v>
      </c>
      <c r="O273" s="21">
        <v>143.5</v>
      </c>
      <c r="P273" s="21">
        <v>161.5</v>
      </c>
      <c r="Q273" s="21">
        <v>155.30000000000001</v>
      </c>
      <c r="R273" s="21">
        <v>1978.6</v>
      </c>
      <c r="S273" s="21">
        <v>155.1</v>
      </c>
      <c r="T273" s="21">
        <v>149.30000000000001</v>
      </c>
      <c r="U273" s="21">
        <v>154.30000000000001</v>
      </c>
      <c r="V273" s="21">
        <v>458.7</v>
      </c>
      <c r="W273" s="21">
        <v>155.5</v>
      </c>
      <c r="X273" s="21">
        <v>151.9</v>
      </c>
      <c r="Y273" s="21">
        <v>307.39999999999998</v>
      </c>
      <c r="Z273" s="21">
        <v>158.80000000000001</v>
      </c>
      <c r="AA273" s="21">
        <v>153.6</v>
      </c>
      <c r="AB273" s="21">
        <f t="shared" si="9"/>
        <v>312.39999999999998</v>
      </c>
      <c r="AC273" s="21">
        <v>145.80000000000001</v>
      </c>
      <c r="AD273" s="21">
        <v>143.6</v>
      </c>
      <c r="AE273" s="21">
        <v>152.19999999999999</v>
      </c>
      <c r="AF273" s="21">
        <v>162.69999999999999</v>
      </c>
      <c r="AG273" s="21">
        <v>180.9</v>
      </c>
      <c r="AH273" s="21">
        <v>153</v>
      </c>
      <c r="AI273" s="21">
        <v>154.69999999999999</v>
      </c>
    </row>
    <row r="274" spans="1:35" x14ac:dyDescent="0.35">
      <c r="A274" s="21" t="s">
        <v>33</v>
      </c>
      <c r="B274" s="21">
        <v>2020</v>
      </c>
      <c r="C274" s="21" t="s">
        <v>41</v>
      </c>
      <c r="D274" s="17" t="str">
        <f t="shared" si="8"/>
        <v>August-2020</v>
      </c>
      <c r="E274" s="21">
        <v>151.6</v>
      </c>
      <c r="F274" s="21">
        <v>197.8</v>
      </c>
      <c r="G274" s="21">
        <v>154.5</v>
      </c>
      <c r="H274" s="21">
        <v>153.4</v>
      </c>
      <c r="I274" s="21">
        <v>133.4</v>
      </c>
      <c r="J274" s="21">
        <v>154.5</v>
      </c>
      <c r="K274" s="21">
        <v>191.9</v>
      </c>
      <c r="L274" s="21">
        <v>151.30000000000001</v>
      </c>
      <c r="M274" s="21">
        <v>116.8</v>
      </c>
      <c r="N274" s="21">
        <v>160</v>
      </c>
      <c r="O274" s="21">
        <v>136.5</v>
      </c>
      <c r="P274" s="21">
        <v>163.30000000000001</v>
      </c>
      <c r="Q274" s="21">
        <v>159.9</v>
      </c>
      <c r="R274" s="21">
        <v>2024.8999999999999</v>
      </c>
      <c r="S274" s="21">
        <v>150</v>
      </c>
      <c r="T274" s="21">
        <v>135.19999999999999</v>
      </c>
      <c r="U274" s="21">
        <v>147.80000000000001</v>
      </c>
      <c r="V274" s="21">
        <v>433</v>
      </c>
      <c r="W274" s="21">
        <v>155.5</v>
      </c>
      <c r="X274" s="21">
        <v>144.5</v>
      </c>
      <c r="Y274" s="21">
        <v>300</v>
      </c>
      <c r="Z274" s="21">
        <v>148.69999999999999</v>
      </c>
      <c r="AA274" s="21">
        <v>155.19999999999999</v>
      </c>
      <c r="AB274" s="21">
        <f t="shared" si="9"/>
        <v>303.89999999999998</v>
      </c>
      <c r="AC274" s="21">
        <v>138.30000000000001</v>
      </c>
      <c r="AD274" s="21">
        <v>133.9</v>
      </c>
      <c r="AE274" s="21">
        <v>141.19999999999999</v>
      </c>
      <c r="AF274" s="21">
        <v>155.5</v>
      </c>
      <c r="AG274" s="21">
        <v>187.2</v>
      </c>
      <c r="AH274" s="21">
        <v>144.80000000000001</v>
      </c>
      <c r="AI274" s="21">
        <v>152.9</v>
      </c>
    </row>
    <row r="275" spans="1:35" x14ac:dyDescent="0.35">
      <c r="A275" s="21" t="s">
        <v>34</v>
      </c>
      <c r="B275" s="21">
        <v>2020</v>
      </c>
      <c r="C275" s="21" t="s">
        <v>41</v>
      </c>
      <c r="D275" s="17" t="str">
        <f t="shared" si="8"/>
        <v>August-2020</v>
      </c>
      <c r="E275" s="21">
        <v>148.9</v>
      </c>
      <c r="F275" s="21">
        <v>190.9</v>
      </c>
      <c r="G275" s="21">
        <v>150.80000000000001</v>
      </c>
      <c r="H275" s="21">
        <v>153.30000000000001</v>
      </c>
      <c r="I275" s="21">
        <v>137.4</v>
      </c>
      <c r="J275" s="21">
        <v>150.4</v>
      </c>
      <c r="K275" s="21">
        <v>178.1</v>
      </c>
      <c r="L275" s="21">
        <v>150.4</v>
      </c>
      <c r="M275" s="21">
        <v>115.1</v>
      </c>
      <c r="N275" s="21">
        <v>160</v>
      </c>
      <c r="O275" s="21">
        <v>140.6</v>
      </c>
      <c r="P275" s="21">
        <v>162.30000000000001</v>
      </c>
      <c r="Q275" s="21">
        <v>157</v>
      </c>
      <c r="R275" s="21">
        <v>1995.1999999999998</v>
      </c>
      <c r="S275" s="21">
        <v>153.1</v>
      </c>
      <c r="T275" s="21">
        <v>143.4</v>
      </c>
      <c r="U275" s="21">
        <v>151.69999999999999</v>
      </c>
      <c r="V275" s="21">
        <v>448.2</v>
      </c>
      <c r="W275" s="21">
        <v>155.5</v>
      </c>
      <c r="X275" s="21">
        <v>148.4</v>
      </c>
      <c r="Y275" s="21">
        <v>303.89999999999998</v>
      </c>
      <c r="Z275" s="21">
        <v>155</v>
      </c>
      <c r="AA275" s="21">
        <v>154.30000000000001</v>
      </c>
      <c r="AB275" s="21">
        <f t="shared" si="9"/>
        <v>309.3</v>
      </c>
      <c r="AC275" s="21">
        <v>143</v>
      </c>
      <c r="AD275" s="21">
        <v>138.5</v>
      </c>
      <c r="AE275" s="21">
        <v>146</v>
      </c>
      <c r="AF275" s="21">
        <v>158.5</v>
      </c>
      <c r="AG275" s="21">
        <v>182.6</v>
      </c>
      <c r="AH275" s="21">
        <v>149</v>
      </c>
      <c r="AI275" s="21">
        <v>153.9</v>
      </c>
    </row>
    <row r="276" spans="1:35" x14ac:dyDescent="0.35">
      <c r="A276" s="21" t="s">
        <v>30</v>
      </c>
      <c r="B276" s="21">
        <v>2020</v>
      </c>
      <c r="C276" s="21" t="s">
        <v>42</v>
      </c>
      <c r="D276" s="17" t="str">
        <f t="shared" si="8"/>
        <v>September-2020</v>
      </c>
      <c r="E276" s="21">
        <v>146.9</v>
      </c>
      <c r="F276" s="21">
        <v>183.9</v>
      </c>
      <c r="G276" s="21">
        <v>149.5</v>
      </c>
      <c r="H276" s="21">
        <v>153.4</v>
      </c>
      <c r="I276" s="21">
        <v>140.4</v>
      </c>
      <c r="J276" s="21">
        <v>147</v>
      </c>
      <c r="K276" s="21">
        <v>178.8</v>
      </c>
      <c r="L276" s="21">
        <v>149.30000000000001</v>
      </c>
      <c r="M276" s="21">
        <v>115.1</v>
      </c>
      <c r="N276" s="21">
        <v>160</v>
      </c>
      <c r="O276" s="21">
        <v>145.4</v>
      </c>
      <c r="P276" s="21">
        <v>161.6</v>
      </c>
      <c r="Q276" s="21">
        <v>156.1</v>
      </c>
      <c r="R276" s="21">
        <v>1987.3999999999999</v>
      </c>
      <c r="S276" s="21">
        <v>155.4</v>
      </c>
      <c r="T276" s="21">
        <v>149.9</v>
      </c>
      <c r="U276" s="21">
        <v>154.6</v>
      </c>
      <c r="V276" s="21">
        <v>459.9</v>
      </c>
      <c r="W276" s="21">
        <v>156.30000000000001</v>
      </c>
      <c r="X276" s="21">
        <v>151.6</v>
      </c>
      <c r="Y276" s="21">
        <v>307.89999999999998</v>
      </c>
      <c r="Z276" s="21">
        <v>159.1</v>
      </c>
      <c r="AA276" s="21">
        <v>157.4</v>
      </c>
      <c r="AB276" s="21">
        <f t="shared" si="9"/>
        <v>316.5</v>
      </c>
      <c r="AC276" s="21">
        <v>146.4</v>
      </c>
      <c r="AD276" s="21">
        <v>144.6</v>
      </c>
      <c r="AE276" s="21">
        <v>152.80000000000001</v>
      </c>
      <c r="AF276" s="21">
        <v>161.1</v>
      </c>
      <c r="AG276" s="21">
        <v>182.9</v>
      </c>
      <c r="AH276" s="21">
        <v>153.69999999999999</v>
      </c>
      <c r="AI276" s="21">
        <v>155.4</v>
      </c>
    </row>
    <row r="277" spans="1:35" x14ac:dyDescent="0.35">
      <c r="A277" s="21" t="s">
        <v>33</v>
      </c>
      <c r="B277" s="21">
        <v>2020</v>
      </c>
      <c r="C277" s="21" t="s">
        <v>42</v>
      </c>
      <c r="D277" s="17" t="str">
        <f t="shared" si="8"/>
        <v>September-2020</v>
      </c>
      <c r="E277" s="21">
        <v>151.5</v>
      </c>
      <c r="F277" s="21">
        <v>193.1</v>
      </c>
      <c r="G277" s="21">
        <v>157.30000000000001</v>
      </c>
      <c r="H277" s="21">
        <v>153.9</v>
      </c>
      <c r="I277" s="21">
        <v>134.4</v>
      </c>
      <c r="J277" s="21">
        <v>155.4</v>
      </c>
      <c r="K277" s="21">
        <v>202</v>
      </c>
      <c r="L277" s="21">
        <v>150.80000000000001</v>
      </c>
      <c r="M277" s="21">
        <v>118.9</v>
      </c>
      <c r="N277" s="21">
        <v>160.9</v>
      </c>
      <c r="O277" s="21">
        <v>137.69999999999999</v>
      </c>
      <c r="P277" s="21">
        <v>164.4</v>
      </c>
      <c r="Q277" s="21">
        <v>161.30000000000001</v>
      </c>
      <c r="R277" s="21">
        <v>2041.6000000000001</v>
      </c>
      <c r="S277" s="21">
        <v>150.19999999999999</v>
      </c>
      <c r="T277" s="21">
        <v>136.30000000000001</v>
      </c>
      <c r="U277" s="21">
        <v>148.1</v>
      </c>
      <c r="V277" s="21">
        <v>434.6</v>
      </c>
      <c r="W277" s="21">
        <v>156.30000000000001</v>
      </c>
      <c r="X277" s="21">
        <v>145.4</v>
      </c>
      <c r="Y277" s="21">
        <v>301.70000000000005</v>
      </c>
      <c r="Z277" s="21">
        <v>150</v>
      </c>
      <c r="AA277" s="21">
        <v>159.80000000000001</v>
      </c>
      <c r="AB277" s="21">
        <f t="shared" si="9"/>
        <v>309.8</v>
      </c>
      <c r="AC277" s="21">
        <v>137.19999999999999</v>
      </c>
      <c r="AD277" s="21">
        <v>135.1</v>
      </c>
      <c r="AE277" s="21">
        <v>141.80000000000001</v>
      </c>
      <c r="AF277" s="21">
        <v>154.9</v>
      </c>
      <c r="AG277" s="21">
        <v>188.7</v>
      </c>
      <c r="AH277" s="21">
        <v>146</v>
      </c>
      <c r="AI277" s="21">
        <v>154</v>
      </c>
    </row>
    <row r="278" spans="1:35" x14ac:dyDescent="0.35">
      <c r="A278" s="21" t="s">
        <v>34</v>
      </c>
      <c r="B278" s="21">
        <v>2020</v>
      </c>
      <c r="C278" s="21" t="s">
        <v>42</v>
      </c>
      <c r="D278" s="17" t="str">
        <f t="shared" si="8"/>
        <v>September-2020</v>
      </c>
      <c r="E278" s="21">
        <v>148.4</v>
      </c>
      <c r="F278" s="21">
        <v>187.1</v>
      </c>
      <c r="G278" s="21">
        <v>152.5</v>
      </c>
      <c r="H278" s="21">
        <v>153.6</v>
      </c>
      <c r="I278" s="21">
        <v>138.19999999999999</v>
      </c>
      <c r="J278" s="21">
        <v>150.9</v>
      </c>
      <c r="K278" s="21">
        <v>186.7</v>
      </c>
      <c r="L278" s="21">
        <v>149.80000000000001</v>
      </c>
      <c r="M278" s="21">
        <v>116.4</v>
      </c>
      <c r="N278" s="21">
        <v>160.30000000000001</v>
      </c>
      <c r="O278" s="21">
        <v>142.19999999999999</v>
      </c>
      <c r="P278" s="21">
        <v>162.9</v>
      </c>
      <c r="Q278" s="21">
        <v>158</v>
      </c>
      <c r="R278" s="21">
        <v>2007</v>
      </c>
      <c r="S278" s="21">
        <v>153.4</v>
      </c>
      <c r="T278" s="21">
        <v>144.30000000000001</v>
      </c>
      <c r="U278" s="21">
        <v>152</v>
      </c>
      <c r="V278" s="21">
        <v>449.70000000000005</v>
      </c>
      <c r="W278" s="21">
        <v>156.30000000000001</v>
      </c>
      <c r="X278" s="21">
        <v>148.69999999999999</v>
      </c>
      <c r="Y278" s="21">
        <v>305</v>
      </c>
      <c r="Z278" s="21">
        <v>155.6</v>
      </c>
      <c r="AA278" s="21">
        <v>158.4</v>
      </c>
      <c r="AB278" s="21">
        <f t="shared" si="9"/>
        <v>314</v>
      </c>
      <c r="AC278" s="21">
        <v>142.9</v>
      </c>
      <c r="AD278" s="21">
        <v>139.6</v>
      </c>
      <c r="AE278" s="21">
        <v>146.6</v>
      </c>
      <c r="AF278" s="21">
        <v>157.5</v>
      </c>
      <c r="AG278" s="21">
        <v>184.4</v>
      </c>
      <c r="AH278" s="21">
        <v>150</v>
      </c>
      <c r="AI278" s="21">
        <v>154.69999999999999</v>
      </c>
    </row>
    <row r="279" spans="1:35" x14ac:dyDescent="0.35">
      <c r="A279" s="21" t="s">
        <v>30</v>
      </c>
      <c r="B279" s="21">
        <v>2020</v>
      </c>
      <c r="C279" s="21" t="s">
        <v>43</v>
      </c>
      <c r="D279" s="17" t="str">
        <f t="shared" si="8"/>
        <v>October-2020</v>
      </c>
      <c r="E279" s="21">
        <v>146</v>
      </c>
      <c r="F279" s="21">
        <v>186.3</v>
      </c>
      <c r="G279" s="21">
        <v>159.19999999999999</v>
      </c>
      <c r="H279" s="21">
        <v>153.6</v>
      </c>
      <c r="I279" s="21">
        <v>142.6</v>
      </c>
      <c r="J279" s="21">
        <v>147.19999999999999</v>
      </c>
      <c r="K279" s="21">
        <v>200.6</v>
      </c>
      <c r="L279" s="21">
        <v>150.30000000000001</v>
      </c>
      <c r="M279" s="21">
        <v>115.3</v>
      </c>
      <c r="N279" s="21">
        <v>160.9</v>
      </c>
      <c r="O279" s="21">
        <v>147.4</v>
      </c>
      <c r="P279" s="21">
        <v>161.9</v>
      </c>
      <c r="Q279" s="21">
        <v>159.6</v>
      </c>
      <c r="R279" s="21">
        <v>2030.9</v>
      </c>
      <c r="S279" s="21">
        <v>155.69999999999999</v>
      </c>
      <c r="T279" s="21">
        <v>150.6</v>
      </c>
      <c r="U279" s="21">
        <v>155</v>
      </c>
      <c r="V279" s="21">
        <v>461.29999999999995</v>
      </c>
      <c r="W279" s="21">
        <v>156.5</v>
      </c>
      <c r="X279" s="21">
        <v>152</v>
      </c>
      <c r="Y279" s="21">
        <v>308.5</v>
      </c>
      <c r="Z279" s="21">
        <v>159.5</v>
      </c>
      <c r="AA279" s="21">
        <v>156.19999999999999</v>
      </c>
      <c r="AB279" s="21">
        <f t="shared" si="9"/>
        <v>315.7</v>
      </c>
      <c r="AC279" s="21">
        <v>146.80000000000001</v>
      </c>
      <c r="AD279" s="21">
        <v>146.4</v>
      </c>
      <c r="AE279" s="21">
        <v>152.4</v>
      </c>
      <c r="AF279" s="21">
        <v>162.5</v>
      </c>
      <c r="AG279" s="21">
        <v>182.7</v>
      </c>
      <c r="AH279" s="21">
        <v>154.30000000000001</v>
      </c>
      <c r="AI279" s="21">
        <v>157.5</v>
      </c>
    </row>
    <row r="280" spans="1:35" x14ac:dyDescent="0.35">
      <c r="A280" s="21" t="s">
        <v>33</v>
      </c>
      <c r="B280" s="21">
        <v>2020</v>
      </c>
      <c r="C280" s="21" t="s">
        <v>43</v>
      </c>
      <c r="D280" s="17" t="str">
        <f t="shared" si="8"/>
        <v>October-2020</v>
      </c>
      <c r="E280" s="21">
        <v>150.6</v>
      </c>
      <c r="F280" s="21">
        <v>193.7</v>
      </c>
      <c r="G280" s="21">
        <v>164.8</v>
      </c>
      <c r="H280" s="21">
        <v>153.69999999999999</v>
      </c>
      <c r="I280" s="21">
        <v>135.69999999999999</v>
      </c>
      <c r="J280" s="21">
        <v>155.69999999999999</v>
      </c>
      <c r="K280" s="21">
        <v>226</v>
      </c>
      <c r="L280" s="21">
        <v>152.19999999999999</v>
      </c>
      <c r="M280" s="21">
        <v>118.1</v>
      </c>
      <c r="N280" s="21">
        <v>161.30000000000001</v>
      </c>
      <c r="O280" s="21">
        <v>139.19999999999999</v>
      </c>
      <c r="P280" s="21">
        <v>164.8</v>
      </c>
      <c r="Q280" s="21">
        <v>164.4</v>
      </c>
      <c r="R280" s="21">
        <v>2080.1999999999998</v>
      </c>
      <c r="S280" s="21">
        <v>150.5</v>
      </c>
      <c r="T280" s="21">
        <v>136.1</v>
      </c>
      <c r="U280" s="21">
        <v>148.30000000000001</v>
      </c>
      <c r="V280" s="21">
        <v>434.90000000000003</v>
      </c>
      <c r="W280" s="21">
        <v>156.5</v>
      </c>
      <c r="X280" s="21">
        <v>145.1</v>
      </c>
      <c r="Y280" s="21">
        <v>301.60000000000002</v>
      </c>
      <c r="Z280" s="21">
        <v>151</v>
      </c>
      <c r="AA280" s="21">
        <v>158.1</v>
      </c>
      <c r="AB280" s="21">
        <f t="shared" si="9"/>
        <v>309.10000000000002</v>
      </c>
      <c r="AC280" s="21">
        <v>137.1</v>
      </c>
      <c r="AD280" s="21">
        <v>135.4</v>
      </c>
      <c r="AE280" s="21">
        <v>142</v>
      </c>
      <c r="AF280" s="21">
        <v>155.69999999999999</v>
      </c>
      <c r="AG280" s="21">
        <v>188.7</v>
      </c>
      <c r="AH280" s="21">
        <v>146.19999999999999</v>
      </c>
      <c r="AI280" s="21">
        <v>155.19999999999999</v>
      </c>
    </row>
    <row r="281" spans="1:35" x14ac:dyDescent="0.35">
      <c r="A281" s="21" t="s">
        <v>34</v>
      </c>
      <c r="B281" s="21">
        <v>2020</v>
      </c>
      <c r="C281" s="21" t="s">
        <v>43</v>
      </c>
      <c r="D281" s="17" t="str">
        <f t="shared" si="8"/>
        <v>October-2020</v>
      </c>
      <c r="E281" s="21">
        <v>147.5</v>
      </c>
      <c r="F281" s="21">
        <v>188.9</v>
      </c>
      <c r="G281" s="21">
        <v>161.4</v>
      </c>
      <c r="H281" s="21">
        <v>153.6</v>
      </c>
      <c r="I281" s="21">
        <v>140.1</v>
      </c>
      <c r="J281" s="21">
        <v>151.19999999999999</v>
      </c>
      <c r="K281" s="21">
        <v>209.2</v>
      </c>
      <c r="L281" s="21">
        <v>150.9</v>
      </c>
      <c r="M281" s="21">
        <v>116.2</v>
      </c>
      <c r="N281" s="21">
        <v>161</v>
      </c>
      <c r="O281" s="21">
        <v>144</v>
      </c>
      <c r="P281" s="21">
        <v>163.19999999999999</v>
      </c>
      <c r="Q281" s="21">
        <v>161.4</v>
      </c>
      <c r="R281" s="21">
        <v>2048.6000000000004</v>
      </c>
      <c r="S281" s="21">
        <v>153.69999999999999</v>
      </c>
      <c r="T281" s="21">
        <v>144.6</v>
      </c>
      <c r="U281" s="21">
        <v>152.30000000000001</v>
      </c>
      <c r="V281" s="21">
        <v>450.59999999999997</v>
      </c>
      <c r="W281" s="21">
        <v>156.5</v>
      </c>
      <c r="X281" s="21">
        <v>148.69999999999999</v>
      </c>
      <c r="Y281" s="21">
        <v>305.2</v>
      </c>
      <c r="Z281" s="21">
        <v>156.30000000000001</v>
      </c>
      <c r="AA281" s="21">
        <v>157</v>
      </c>
      <c r="AB281" s="21">
        <f t="shared" si="9"/>
        <v>313.3</v>
      </c>
      <c r="AC281" s="21">
        <v>143.1</v>
      </c>
      <c r="AD281" s="21">
        <v>140.6</v>
      </c>
      <c r="AE281" s="21">
        <v>146.5</v>
      </c>
      <c r="AF281" s="21">
        <v>158.5</v>
      </c>
      <c r="AG281" s="21">
        <v>184.3</v>
      </c>
      <c r="AH281" s="21">
        <v>150.4</v>
      </c>
      <c r="AI281" s="21">
        <v>156.4</v>
      </c>
    </row>
    <row r="282" spans="1:35" x14ac:dyDescent="0.35">
      <c r="A282" s="21" t="s">
        <v>30</v>
      </c>
      <c r="B282" s="21">
        <v>2020</v>
      </c>
      <c r="C282" s="21" t="s">
        <v>45</v>
      </c>
      <c r="D282" s="17" t="str">
        <f t="shared" si="8"/>
        <v>November-2020</v>
      </c>
      <c r="E282" s="21">
        <v>145.4</v>
      </c>
      <c r="F282" s="21">
        <v>188.6</v>
      </c>
      <c r="G282" s="21">
        <v>171.6</v>
      </c>
      <c r="H282" s="21">
        <v>153.80000000000001</v>
      </c>
      <c r="I282" s="21">
        <v>145.4</v>
      </c>
      <c r="J282" s="21">
        <v>146.5</v>
      </c>
      <c r="K282" s="21">
        <v>222.2</v>
      </c>
      <c r="L282" s="21">
        <v>155.9</v>
      </c>
      <c r="M282" s="21">
        <v>114.9</v>
      </c>
      <c r="N282" s="21">
        <v>162</v>
      </c>
      <c r="O282" s="21">
        <v>150</v>
      </c>
      <c r="P282" s="21">
        <v>162.69999999999999</v>
      </c>
      <c r="Q282" s="21">
        <v>163.4</v>
      </c>
      <c r="R282" s="21">
        <v>2082.4</v>
      </c>
      <c r="S282" s="21">
        <v>156.30000000000001</v>
      </c>
      <c r="T282" s="21">
        <v>151</v>
      </c>
      <c r="U282" s="21">
        <v>155.5</v>
      </c>
      <c r="V282" s="21">
        <v>462.8</v>
      </c>
      <c r="W282" s="21">
        <v>158</v>
      </c>
      <c r="X282" s="21">
        <v>152.80000000000001</v>
      </c>
      <c r="Y282" s="21">
        <v>310.8</v>
      </c>
      <c r="Z282" s="21">
        <v>160.4</v>
      </c>
      <c r="AA282" s="21">
        <v>156.19999999999999</v>
      </c>
      <c r="AB282" s="21">
        <f t="shared" si="9"/>
        <v>316.60000000000002</v>
      </c>
      <c r="AC282" s="21">
        <v>147.5</v>
      </c>
      <c r="AD282" s="21">
        <v>146.1</v>
      </c>
      <c r="AE282" s="21">
        <v>153.6</v>
      </c>
      <c r="AF282" s="21">
        <v>161.6</v>
      </c>
      <c r="AG282" s="21">
        <v>183.4</v>
      </c>
      <c r="AH282" s="21">
        <v>154.5</v>
      </c>
      <c r="AI282" s="21">
        <v>159.80000000000001</v>
      </c>
    </row>
    <row r="283" spans="1:35" x14ac:dyDescent="0.35">
      <c r="A283" s="21" t="s">
        <v>33</v>
      </c>
      <c r="B283" s="21">
        <v>2020</v>
      </c>
      <c r="C283" s="21" t="s">
        <v>45</v>
      </c>
      <c r="D283" s="17" t="str">
        <f t="shared" si="8"/>
        <v>November-2020</v>
      </c>
      <c r="E283" s="21">
        <v>149.69999999999999</v>
      </c>
      <c r="F283" s="21">
        <v>195.5</v>
      </c>
      <c r="G283" s="21">
        <v>176.9</v>
      </c>
      <c r="H283" s="21">
        <v>153.9</v>
      </c>
      <c r="I283" s="21">
        <v>138</v>
      </c>
      <c r="J283" s="21">
        <v>150.5</v>
      </c>
      <c r="K283" s="21">
        <v>245.3</v>
      </c>
      <c r="L283" s="21">
        <v>158.69999999999999</v>
      </c>
      <c r="M283" s="21">
        <v>117.2</v>
      </c>
      <c r="N283" s="21">
        <v>161.4</v>
      </c>
      <c r="O283" s="21">
        <v>141.5</v>
      </c>
      <c r="P283" s="21">
        <v>165.1</v>
      </c>
      <c r="Q283" s="21">
        <v>167</v>
      </c>
      <c r="R283" s="21">
        <v>2120.6999999999998</v>
      </c>
      <c r="S283" s="21">
        <v>151.1</v>
      </c>
      <c r="T283" s="21">
        <v>136.4</v>
      </c>
      <c r="U283" s="21">
        <v>148.80000000000001</v>
      </c>
      <c r="V283" s="21">
        <v>436.3</v>
      </c>
      <c r="W283" s="21">
        <v>158</v>
      </c>
      <c r="X283" s="21">
        <v>145.1</v>
      </c>
      <c r="Y283" s="21">
        <v>303.10000000000002</v>
      </c>
      <c r="Z283" s="21">
        <v>152</v>
      </c>
      <c r="AA283" s="21">
        <v>157.9</v>
      </c>
      <c r="AB283" s="21">
        <f t="shared" si="9"/>
        <v>309.89999999999998</v>
      </c>
      <c r="AC283" s="21">
        <v>137.30000000000001</v>
      </c>
      <c r="AD283" s="21">
        <v>135.19999999999999</v>
      </c>
      <c r="AE283" s="21">
        <v>144.4</v>
      </c>
      <c r="AF283" s="21">
        <v>156.4</v>
      </c>
      <c r="AG283" s="21">
        <v>188.8</v>
      </c>
      <c r="AH283" s="21">
        <v>146.6</v>
      </c>
      <c r="AI283" s="21">
        <v>156.69999999999999</v>
      </c>
    </row>
    <row r="284" spans="1:35" x14ac:dyDescent="0.35">
      <c r="A284" s="21" t="s">
        <v>34</v>
      </c>
      <c r="B284" s="21">
        <v>2020</v>
      </c>
      <c r="C284" s="21" t="s">
        <v>45</v>
      </c>
      <c r="D284" s="17" t="str">
        <f t="shared" si="8"/>
        <v>November-2020</v>
      </c>
      <c r="E284" s="21">
        <v>146.80000000000001</v>
      </c>
      <c r="F284" s="21">
        <v>191</v>
      </c>
      <c r="G284" s="21">
        <v>173.6</v>
      </c>
      <c r="H284" s="21">
        <v>153.80000000000001</v>
      </c>
      <c r="I284" s="21">
        <v>142.69999999999999</v>
      </c>
      <c r="J284" s="21">
        <v>148.4</v>
      </c>
      <c r="K284" s="21">
        <v>230</v>
      </c>
      <c r="L284" s="21">
        <v>156.80000000000001</v>
      </c>
      <c r="M284" s="21">
        <v>115.7</v>
      </c>
      <c r="N284" s="21">
        <v>161.80000000000001</v>
      </c>
      <c r="O284" s="21">
        <v>146.5</v>
      </c>
      <c r="P284" s="21">
        <v>163.80000000000001</v>
      </c>
      <c r="Q284" s="21">
        <v>164.7</v>
      </c>
      <c r="R284" s="21">
        <v>2095.6</v>
      </c>
      <c r="S284" s="21">
        <v>154.30000000000001</v>
      </c>
      <c r="T284" s="21">
        <v>144.9</v>
      </c>
      <c r="U284" s="21">
        <v>152.80000000000001</v>
      </c>
      <c r="V284" s="21">
        <v>452.00000000000006</v>
      </c>
      <c r="W284" s="21">
        <v>158</v>
      </c>
      <c r="X284" s="21">
        <v>149.19999999999999</v>
      </c>
      <c r="Y284" s="21">
        <v>307.2</v>
      </c>
      <c r="Z284" s="21">
        <v>157.19999999999999</v>
      </c>
      <c r="AA284" s="21">
        <v>156.9</v>
      </c>
      <c r="AB284" s="21">
        <f t="shared" si="9"/>
        <v>314.10000000000002</v>
      </c>
      <c r="AC284" s="21">
        <v>143.6</v>
      </c>
      <c r="AD284" s="21">
        <v>140.4</v>
      </c>
      <c r="AE284" s="21">
        <v>148.4</v>
      </c>
      <c r="AF284" s="21">
        <v>158.6</v>
      </c>
      <c r="AG284" s="21">
        <v>184.8</v>
      </c>
      <c r="AH284" s="21">
        <v>150.69999999999999</v>
      </c>
      <c r="AI284" s="21">
        <v>158.4</v>
      </c>
    </row>
    <row r="285" spans="1:35" x14ac:dyDescent="0.35">
      <c r="A285" s="21" t="s">
        <v>30</v>
      </c>
      <c r="B285" s="21">
        <v>2020</v>
      </c>
      <c r="C285" s="21" t="s">
        <v>46</v>
      </c>
      <c r="D285" s="17" t="str">
        <f t="shared" si="8"/>
        <v>December-2020</v>
      </c>
      <c r="E285" s="21">
        <v>144.6</v>
      </c>
      <c r="F285" s="21">
        <v>188.5</v>
      </c>
      <c r="G285" s="21">
        <v>173.4</v>
      </c>
      <c r="H285" s="21">
        <v>154</v>
      </c>
      <c r="I285" s="21">
        <v>150</v>
      </c>
      <c r="J285" s="21">
        <v>145.9</v>
      </c>
      <c r="K285" s="21">
        <v>225.2</v>
      </c>
      <c r="L285" s="21">
        <v>159.5</v>
      </c>
      <c r="M285" s="21">
        <v>114.4</v>
      </c>
      <c r="N285" s="21">
        <v>163.5</v>
      </c>
      <c r="O285" s="21">
        <v>153.4</v>
      </c>
      <c r="P285" s="21">
        <v>163.6</v>
      </c>
      <c r="Q285" s="21">
        <v>164.5</v>
      </c>
      <c r="R285" s="21">
        <v>2100.5</v>
      </c>
      <c r="S285" s="21">
        <v>157</v>
      </c>
      <c r="T285" s="21">
        <v>151.6</v>
      </c>
      <c r="U285" s="21">
        <v>156.30000000000001</v>
      </c>
      <c r="V285" s="21">
        <v>464.90000000000003</v>
      </c>
      <c r="W285" s="21">
        <v>158.4</v>
      </c>
      <c r="X285" s="21">
        <v>153.4</v>
      </c>
      <c r="Y285" s="21">
        <v>311.8</v>
      </c>
      <c r="Z285" s="21">
        <v>161.6</v>
      </c>
      <c r="AA285" s="21">
        <v>156.6</v>
      </c>
      <c r="AB285" s="21">
        <f t="shared" si="9"/>
        <v>318.2</v>
      </c>
      <c r="AC285" s="21">
        <v>148.69999999999999</v>
      </c>
      <c r="AD285" s="21">
        <v>146.4</v>
      </c>
      <c r="AE285" s="21">
        <v>153.9</v>
      </c>
      <c r="AF285" s="21">
        <v>162.9</v>
      </c>
      <c r="AG285" s="21">
        <v>183.6</v>
      </c>
      <c r="AH285" s="21">
        <v>155.19999999999999</v>
      </c>
      <c r="AI285" s="21">
        <v>160.69999999999999</v>
      </c>
    </row>
    <row r="286" spans="1:35" x14ac:dyDescent="0.35">
      <c r="A286" s="21" t="s">
        <v>33</v>
      </c>
      <c r="B286" s="21">
        <v>2020</v>
      </c>
      <c r="C286" s="21" t="s">
        <v>46</v>
      </c>
      <c r="D286" s="17" t="str">
        <f t="shared" si="8"/>
        <v>December-2020</v>
      </c>
      <c r="E286" s="21">
        <v>149</v>
      </c>
      <c r="F286" s="21">
        <v>195.7</v>
      </c>
      <c r="G286" s="21">
        <v>178.3</v>
      </c>
      <c r="H286" s="21">
        <v>154.19999999999999</v>
      </c>
      <c r="I286" s="21">
        <v>140.69999999999999</v>
      </c>
      <c r="J286" s="21">
        <v>149.69999999999999</v>
      </c>
      <c r="K286" s="21">
        <v>240.9</v>
      </c>
      <c r="L286" s="21">
        <v>161.5</v>
      </c>
      <c r="M286" s="21">
        <v>117.1</v>
      </c>
      <c r="N286" s="21">
        <v>161.9</v>
      </c>
      <c r="O286" s="21">
        <v>143.30000000000001</v>
      </c>
      <c r="P286" s="21">
        <v>166.1</v>
      </c>
      <c r="Q286" s="21">
        <v>167</v>
      </c>
      <c r="R286" s="21">
        <v>2125.4</v>
      </c>
      <c r="S286" s="21">
        <v>151.9</v>
      </c>
      <c r="T286" s="21">
        <v>136.69999999999999</v>
      </c>
      <c r="U286" s="21">
        <v>149.6</v>
      </c>
      <c r="V286" s="21">
        <v>438.20000000000005</v>
      </c>
      <c r="W286" s="21">
        <v>158.4</v>
      </c>
      <c r="X286" s="21">
        <v>145.5</v>
      </c>
      <c r="Y286" s="21">
        <v>303.89999999999998</v>
      </c>
      <c r="Z286" s="21">
        <v>152.9</v>
      </c>
      <c r="AA286" s="21">
        <v>157.9</v>
      </c>
      <c r="AB286" s="21">
        <f t="shared" si="9"/>
        <v>310.8</v>
      </c>
      <c r="AC286" s="21">
        <v>137.9</v>
      </c>
      <c r="AD286" s="21">
        <v>135.5</v>
      </c>
      <c r="AE286" s="21">
        <v>144.30000000000001</v>
      </c>
      <c r="AF286" s="21">
        <v>156.9</v>
      </c>
      <c r="AG286" s="21">
        <v>190.2</v>
      </c>
      <c r="AH286" s="21">
        <v>146.9</v>
      </c>
      <c r="AI286" s="21">
        <v>156.9</v>
      </c>
    </row>
    <row r="287" spans="1:35" x14ac:dyDescent="0.35">
      <c r="A287" s="21" t="s">
        <v>34</v>
      </c>
      <c r="B287" s="21">
        <v>2020</v>
      </c>
      <c r="C287" s="21" t="s">
        <v>46</v>
      </c>
      <c r="D287" s="17" t="str">
        <f t="shared" si="8"/>
        <v>December-2020</v>
      </c>
      <c r="E287" s="21">
        <v>146</v>
      </c>
      <c r="F287" s="21">
        <v>191</v>
      </c>
      <c r="G287" s="21">
        <v>175.3</v>
      </c>
      <c r="H287" s="21">
        <v>154.1</v>
      </c>
      <c r="I287" s="21">
        <v>146.6</v>
      </c>
      <c r="J287" s="21">
        <v>147.69999999999999</v>
      </c>
      <c r="K287" s="21">
        <v>230.5</v>
      </c>
      <c r="L287" s="21">
        <v>160.19999999999999</v>
      </c>
      <c r="M287" s="21">
        <v>115.3</v>
      </c>
      <c r="N287" s="21">
        <v>163</v>
      </c>
      <c r="O287" s="21">
        <v>149.19999999999999</v>
      </c>
      <c r="P287" s="21">
        <v>164.8</v>
      </c>
      <c r="Q287" s="21">
        <v>165.4</v>
      </c>
      <c r="R287" s="21">
        <v>2109.1</v>
      </c>
      <c r="S287" s="21">
        <v>155</v>
      </c>
      <c r="T287" s="21">
        <v>145.4</v>
      </c>
      <c r="U287" s="21">
        <v>153.6</v>
      </c>
      <c r="V287" s="21">
        <v>454</v>
      </c>
      <c r="W287" s="21">
        <v>158.4</v>
      </c>
      <c r="X287" s="21">
        <v>149.69999999999999</v>
      </c>
      <c r="Y287" s="21">
        <v>308.10000000000002</v>
      </c>
      <c r="Z287" s="21">
        <v>158.30000000000001</v>
      </c>
      <c r="AA287" s="21">
        <v>157.1</v>
      </c>
      <c r="AB287" s="21">
        <f t="shared" si="9"/>
        <v>315.39999999999998</v>
      </c>
      <c r="AC287" s="21">
        <v>144.6</v>
      </c>
      <c r="AD287" s="21">
        <v>140.69999999999999</v>
      </c>
      <c r="AE287" s="21">
        <v>148.5</v>
      </c>
      <c r="AF287" s="21">
        <v>159.4</v>
      </c>
      <c r="AG287" s="21">
        <v>185.4</v>
      </c>
      <c r="AH287" s="21">
        <v>151.19999999999999</v>
      </c>
      <c r="AI287" s="21">
        <v>158.9</v>
      </c>
    </row>
    <row r="288" spans="1:35" x14ac:dyDescent="0.35">
      <c r="A288" s="21" t="s">
        <v>30</v>
      </c>
      <c r="B288" s="21">
        <v>2021</v>
      </c>
      <c r="C288" s="21" t="s">
        <v>31</v>
      </c>
      <c r="D288" s="17" t="str">
        <f t="shared" si="8"/>
        <v>January-2021</v>
      </c>
      <c r="E288" s="21">
        <v>143.4</v>
      </c>
      <c r="F288" s="21">
        <v>187.5</v>
      </c>
      <c r="G288" s="21">
        <v>173.4</v>
      </c>
      <c r="H288" s="21">
        <v>154</v>
      </c>
      <c r="I288" s="21">
        <v>154.80000000000001</v>
      </c>
      <c r="J288" s="21">
        <v>147</v>
      </c>
      <c r="K288" s="21">
        <v>187.8</v>
      </c>
      <c r="L288" s="21">
        <v>159.5</v>
      </c>
      <c r="M288" s="21">
        <v>113.8</v>
      </c>
      <c r="N288" s="21">
        <v>164.5</v>
      </c>
      <c r="O288" s="21">
        <v>156.1</v>
      </c>
      <c r="P288" s="21">
        <v>164.3</v>
      </c>
      <c r="Q288" s="21">
        <v>159.6</v>
      </c>
      <c r="R288" s="21">
        <v>2065.6999999999998</v>
      </c>
      <c r="S288" s="21">
        <v>157.5</v>
      </c>
      <c r="T288" s="21">
        <v>152.4</v>
      </c>
      <c r="U288" s="21">
        <v>156.80000000000001</v>
      </c>
      <c r="V288" s="21">
        <v>466.7</v>
      </c>
      <c r="W288" s="21">
        <v>157.69999999999999</v>
      </c>
      <c r="X288" s="21">
        <v>153.9</v>
      </c>
      <c r="Y288" s="21">
        <v>311.60000000000002</v>
      </c>
      <c r="Z288" s="21">
        <v>162.5</v>
      </c>
      <c r="AA288" s="21">
        <v>156.19999999999999</v>
      </c>
      <c r="AB288" s="21">
        <f t="shared" si="9"/>
        <v>318.7</v>
      </c>
      <c r="AC288" s="21">
        <v>150.9</v>
      </c>
      <c r="AD288" s="21">
        <v>147.5</v>
      </c>
      <c r="AE288" s="21">
        <v>155.1</v>
      </c>
      <c r="AF288" s="21">
        <v>163.5</v>
      </c>
      <c r="AG288" s="21">
        <v>184.6</v>
      </c>
      <c r="AH288" s="21">
        <v>155.9</v>
      </c>
      <c r="AI288" s="21">
        <v>158.5</v>
      </c>
    </row>
    <row r="289" spans="1:35" x14ac:dyDescent="0.35">
      <c r="A289" s="21" t="s">
        <v>33</v>
      </c>
      <c r="B289" s="21">
        <v>2021</v>
      </c>
      <c r="C289" s="21" t="s">
        <v>31</v>
      </c>
      <c r="D289" s="17" t="str">
        <f t="shared" si="8"/>
        <v>January-2021</v>
      </c>
      <c r="E289" s="21">
        <v>148</v>
      </c>
      <c r="F289" s="21">
        <v>194.8</v>
      </c>
      <c r="G289" s="21">
        <v>178.4</v>
      </c>
      <c r="H289" s="21">
        <v>154.4</v>
      </c>
      <c r="I289" s="21">
        <v>144.1</v>
      </c>
      <c r="J289" s="21">
        <v>152.6</v>
      </c>
      <c r="K289" s="21">
        <v>206.8</v>
      </c>
      <c r="L289" s="21">
        <v>162.1</v>
      </c>
      <c r="M289" s="21">
        <v>116.3</v>
      </c>
      <c r="N289" s="21">
        <v>163</v>
      </c>
      <c r="O289" s="21">
        <v>145.9</v>
      </c>
      <c r="P289" s="21">
        <v>167.2</v>
      </c>
      <c r="Q289" s="21">
        <v>163.4</v>
      </c>
      <c r="R289" s="21">
        <v>2097</v>
      </c>
      <c r="S289" s="21">
        <v>152.5</v>
      </c>
      <c r="T289" s="21">
        <v>137.30000000000001</v>
      </c>
      <c r="U289" s="21">
        <v>150.19999999999999</v>
      </c>
      <c r="V289" s="21">
        <v>440</v>
      </c>
      <c r="W289" s="21">
        <v>157.69999999999999</v>
      </c>
      <c r="X289" s="21">
        <v>145.69999999999999</v>
      </c>
      <c r="Y289" s="21">
        <v>303.39999999999998</v>
      </c>
      <c r="Z289" s="21">
        <v>154.1</v>
      </c>
      <c r="AA289" s="21">
        <v>157.69999999999999</v>
      </c>
      <c r="AB289" s="21">
        <f t="shared" si="9"/>
        <v>311.79999999999995</v>
      </c>
      <c r="AC289" s="21">
        <v>142.9</v>
      </c>
      <c r="AD289" s="21">
        <v>136.9</v>
      </c>
      <c r="AE289" s="21">
        <v>145.4</v>
      </c>
      <c r="AF289" s="21">
        <v>156.1</v>
      </c>
      <c r="AG289" s="21">
        <v>191.8</v>
      </c>
      <c r="AH289" s="21">
        <v>147.6</v>
      </c>
      <c r="AI289" s="21">
        <v>156</v>
      </c>
    </row>
    <row r="290" spans="1:35" x14ac:dyDescent="0.35">
      <c r="A290" s="21" t="s">
        <v>34</v>
      </c>
      <c r="B290" s="21">
        <v>2021</v>
      </c>
      <c r="C290" s="21" t="s">
        <v>31</v>
      </c>
      <c r="D290" s="17" t="str">
        <f t="shared" si="8"/>
        <v>January-2021</v>
      </c>
      <c r="E290" s="21">
        <v>144.9</v>
      </c>
      <c r="F290" s="21">
        <v>190.1</v>
      </c>
      <c r="G290" s="21">
        <v>175.3</v>
      </c>
      <c r="H290" s="21">
        <v>154.1</v>
      </c>
      <c r="I290" s="21">
        <v>150.9</v>
      </c>
      <c r="J290" s="21">
        <v>149.6</v>
      </c>
      <c r="K290" s="21">
        <v>194.2</v>
      </c>
      <c r="L290" s="21">
        <v>160.4</v>
      </c>
      <c r="M290" s="21">
        <v>114.6</v>
      </c>
      <c r="N290" s="21">
        <v>164</v>
      </c>
      <c r="O290" s="21">
        <v>151.80000000000001</v>
      </c>
      <c r="P290" s="21">
        <v>165.6</v>
      </c>
      <c r="Q290" s="21">
        <v>161</v>
      </c>
      <c r="R290" s="21">
        <v>2076.5</v>
      </c>
      <c r="S290" s="21">
        <v>155.5</v>
      </c>
      <c r="T290" s="21">
        <v>146.1</v>
      </c>
      <c r="U290" s="21">
        <v>154.19999999999999</v>
      </c>
      <c r="V290" s="21">
        <v>455.8</v>
      </c>
      <c r="W290" s="21">
        <v>157.69999999999999</v>
      </c>
      <c r="X290" s="21">
        <v>150</v>
      </c>
      <c r="Y290" s="21">
        <v>307.7</v>
      </c>
      <c r="Z290" s="21">
        <v>159.30000000000001</v>
      </c>
      <c r="AA290" s="21">
        <v>156.80000000000001</v>
      </c>
      <c r="AB290" s="21">
        <f t="shared" si="9"/>
        <v>316.10000000000002</v>
      </c>
      <c r="AC290" s="21">
        <v>147.9</v>
      </c>
      <c r="AD290" s="21">
        <v>141.9</v>
      </c>
      <c r="AE290" s="21">
        <v>149.6</v>
      </c>
      <c r="AF290" s="21">
        <v>159.19999999999999</v>
      </c>
      <c r="AG290" s="21">
        <v>186.5</v>
      </c>
      <c r="AH290" s="21">
        <v>151.9</v>
      </c>
      <c r="AI290" s="21">
        <v>157.30000000000001</v>
      </c>
    </row>
    <row r="291" spans="1:35" x14ac:dyDescent="0.35">
      <c r="A291" s="21" t="s">
        <v>30</v>
      </c>
      <c r="B291" s="21">
        <v>2021</v>
      </c>
      <c r="C291" s="21" t="s">
        <v>35</v>
      </c>
      <c r="D291" s="17" t="str">
        <f t="shared" si="8"/>
        <v>February-2021</v>
      </c>
      <c r="E291" s="21">
        <v>142.80000000000001</v>
      </c>
      <c r="F291" s="21">
        <v>184</v>
      </c>
      <c r="G291" s="21">
        <v>168</v>
      </c>
      <c r="H291" s="21">
        <v>154.4</v>
      </c>
      <c r="I291" s="21">
        <v>163</v>
      </c>
      <c r="J291" s="21">
        <v>147.80000000000001</v>
      </c>
      <c r="K291" s="21">
        <v>149.69999999999999</v>
      </c>
      <c r="L291" s="21">
        <v>158.30000000000001</v>
      </c>
      <c r="M291" s="21">
        <v>111.8</v>
      </c>
      <c r="N291" s="21">
        <v>165</v>
      </c>
      <c r="O291" s="21">
        <v>160</v>
      </c>
      <c r="P291" s="21">
        <v>165.8</v>
      </c>
      <c r="Q291" s="21">
        <v>154.69999999999999</v>
      </c>
      <c r="R291" s="21">
        <v>2025.3</v>
      </c>
      <c r="S291" s="21">
        <v>159.1</v>
      </c>
      <c r="T291" s="21">
        <v>153.9</v>
      </c>
      <c r="U291" s="21">
        <v>158.4</v>
      </c>
      <c r="V291" s="21">
        <v>471.4</v>
      </c>
      <c r="W291" s="21">
        <v>159.80000000000001</v>
      </c>
      <c r="X291" s="21">
        <v>154.80000000000001</v>
      </c>
      <c r="Y291" s="21">
        <v>314.60000000000002</v>
      </c>
      <c r="Z291" s="21">
        <v>164.3</v>
      </c>
      <c r="AA291" s="21">
        <v>155.19999999999999</v>
      </c>
      <c r="AB291" s="21">
        <f t="shared" si="9"/>
        <v>319.5</v>
      </c>
      <c r="AC291" s="21">
        <v>154.4</v>
      </c>
      <c r="AD291" s="21">
        <v>150.19999999999999</v>
      </c>
      <c r="AE291" s="21">
        <v>157</v>
      </c>
      <c r="AF291" s="21">
        <v>163.6</v>
      </c>
      <c r="AG291" s="21">
        <v>186.5</v>
      </c>
      <c r="AH291" s="21">
        <v>157.19999999999999</v>
      </c>
      <c r="AI291" s="21">
        <v>156.69999999999999</v>
      </c>
    </row>
    <row r="292" spans="1:35" x14ac:dyDescent="0.35">
      <c r="A292" s="21" t="s">
        <v>33</v>
      </c>
      <c r="B292" s="21">
        <v>2021</v>
      </c>
      <c r="C292" s="21" t="s">
        <v>35</v>
      </c>
      <c r="D292" s="17" t="str">
        <f t="shared" si="8"/>
        <v>February-2021</v>
      </c>
      <c r="E292" s="21">
        <v>147.6</v>
      </c>
      <c r="F292" s="21">
        <v>191.2</v>
      </c>
      <c r="G292" s="21">
        <v>169.9</v>
      </c>
      <c r="H292" s="21">
        <v>155.1</v>
      </c>
      <c r="I292" s="21">
        <v>151.4</v>
      </c>
      <c r="J292" s="21">
        <v>154</v>
      </c>
      <c r="K292" s="21">
        <v>180.2</v>
      </c>
      <c r="L292" s="21">
        <v>159.80000000000001</v>
      </c>
      <c r="M292" s="21">
        <v>114.9</v>
      </c>
      <c r="N292" s="21">
        <v>162.5</v>
      </c>
      <c r="O292" s="21">
        <v>149.19999999999999</v>
      </c>
      <c r="P292" s="21">
        <v>169.4</v>
      </c>
      <c r="Q292" s="21">
        <v>160.80000000000001</v>
      </c>
      <c r="R292" s="21">
        <v>2066</v>
      </c>
      <c r="S292" s="21">
        <v>154.19999999999999</v>
      </c>
      <c r="T292" s="21">
        <v>138.19999999999999</v>
      </c>
      <c r="U292" s="21">
        <v>151.80000000000001</v>
      </c>
      <c r="V292" s="21">
        <v>444.2</v>
      </c>
      <c r="W292" s="21">
        <v>159.80000000000001</v>
      </c>
      <c r="X292" s="21">
        <v>146.5</v>
      </c>
      <c r="Y292" s="21">
        <v>306.3</v>
      </c>
      <c r="Z292" s="21">
        <v>156.30000000000001</v>
      </c>
      <c r="AA292" s="21">
        <v>156.69999999999999</v>
      </c>
      <c r="AB292" s="21">
        <f t="shared" si="9"/>
        <v>313</v>
      </c>
      <c r="AC292" s="21">
        <v>149.1</v>
      </c>
      <c r="AD292" s="21">
        <v>140.5</v>
      </c>
      <c r="AE292" s="21">
        <v>147.30000000000001</v>
      </c>
      <c r="AF292" s="21">
        <v>156.6</v>
      </c>
      <c r="AG292" s="21">
        <v>193.3</v>
      </c>
      <c r="AH292" s="21">
        <v>149.30000000000001</v>
      </c>
      <c r="AI292" s="21">
        <v>156.5</v>
      </c>
    </row>
    <row r="293" spans="1:35" x14ac:dyDescent="0.35">
      <c r="A293" s="21" t="s">
        <v>34</v>
      </c>
      <c r="B293" s="21">
        <v>2021</v>
      </c>
      <c r="C293" s="21" t="s">
        <v>35</v>
      </c>
      <c r="D293" s="17" t="str">
        <f t="shared" si="8"/>
        <v>February-2021</v>
      </c>
      <c r="E293" s="21">
        <v>144.30000000000001</v>
      </c>
      <c r="F293" s="21">
        <v>186.5</v>
      </c>
      <c r="G293" s="21">
        <v>168.7</v>
      </c>
      <c r="H293" s="21">
        <v>154.69999999999999</v>
      </c>
      <c r="I293" s="21">
        <v>158.69999999999999</v>
      </c>
      <c r="J293" s="21">
        <v>150.69999999999999</v>
      </c>
      <c r="K293" s="21">
        <v>160</v>
      </c>
      <c r="L293" s="21">
        <v>158.80000000000001</v>
      </c>
      <c r="M293" s="21">
        <v>112.8</v>
      </c>
      <c r="N293" s="21">
        <v>164.2</v>
      </c>
      <c r="O293" s="21">
        <v>155.5</v>
      </c>
      <c r="P293" s="21">
        <v>167.5</v>
      </c>
      <c r="Q293" s="21">
        <v>156.9</v>
      </c>
      <c r="R293" s="21">
        <v>2039.3000000000002</v>
      </c>
      <c r="S293" s="21">
        <v>157.19999999999999</v>
      </c>
      <c r="T293" s="21">
        <v>147.4</v>
      </c>
      <c r="U293" s="21">
        <v>155.80000000000001</v>
      </c>
      <c r="V293" s="21">
        <v>460.40000000000003</v>
      </c>
      <c r="W293" s="21">
        <v>159.80000000000001</v>
      </c>
      <c r="X293" s="21">
        <v>150.9</v>
      </c>
      <c r="Y293" s="21">
        <v>310.70000000000005</v>
      </c>
      <c r="Z293" s="21">
        <v>161.30000000000001</v>
      </c>
      <c r="AA293" s="21">
        <v>155.80000000000001</v>
      </c>
      <c r="AB293" s="21">
        <f t="shared" si="9"/>
        <v>317.10000000000002</v>
      </c>
      <c r="AC293" s="21">
        <v>152.4</v>
      </c>
      <c r="AD293" s="21">
        <v>145.1</v>
      </c>
      <c r="AE293" s="21">
        <v>151.5</v>
      </c>
      <c r="AF293" s="21">
        <v>159.5</v>
      </c>
      <c r="AG293" s="21">
        <v>188.3</v>
      </c>
      <c r="AH293" s="21">
        <v>153.4</v>
      </c>
      <c r="AI293" s="21">
        <v>156.6</v>
      </c>
    </row>
    <row r="294" spans="1:35" x14ac:dyDescent="0.35">
      <c r="A294" s="21" t="s">
        <v>30</v>
      </c>
      <c r="B294" s="21">
        <v>2021</v>
      </c>
      <c r="C294" s="21" t="s">
        <v>36</v>
      </c>
      <c r="D294" s="17" t="str">
        <f t="shared" si="8"/>
        <v>March-2021</v>
      </c>
      <c r="E294" s="21">
        <v>142.5</v>
      </c>
      <c r="F294" s="21">
        <v>189.4</v>
      </c>
      <c r="G294" s="21">
        <v>163.19999999999999</v>
      </c>
      <c r="H294" s="21">
        <v>154.5</v>
      </c>
      <c r="I294" s="21">
        <v>168.2</v>
      </c>
      <c r="J294" s="21">
        <v>150.5</v>
      </c>
      <c r="K294" s="21">
        <v>141</v>
      </c>
      <c r="L294" s="21">
        <v>159.19999999999999</v>
      </c>
      <c r="M294" s="21">
        <v>111.7</v>
      </c>
      <c r="N294" s="21">
        <v>164</v>
      </c>
      <c r="O294" s="21">
        <v>160.6</v>
      </c>
      <c r="P294" s="21">
        <v>166.4</v>
      </c>
      <c r="Q294" s="21">
        <v>154.5</v>
      </c>
      <c r="R294" s="21">
        <v>2025.7</v>
      </c>
      <c r="S294" s="21">
        <v>159.6</v>
      </c>
      <c r="T294" s="21">
        <v>154.4</v>
      </c>
      <c r="U294" s="21">
        <v>158.9</v>
      </c>
      <c r="V294" s="21">
        <v>472.9</v>
      </c>
      <c r="W294" s="21" t="s">
        <v>48</v>
      </c>
      <c r="X294" s="21">
        <v>154.80000000000001</v>
      </c>
      <c r="Y294" s="21">
        <v>154.80000000000001</v>
      </c>
      <c r="Z294" s="21">
        <v>164.6</v>
      </c>
      <c r="AA294" s="21">
        <v>153.1</v>
      </c>
      <c r="AB294" s="21">
        <f t="shared" si="9"/>
        <v>317.7</v>
      </c>
      <c r="AC294" s="21">
        <v>156</v>
      </c>
      <c r="AD294" s="21">
        <v>151.30000000000001</v>
      </c>
      <c r="AE294" s="21">
        <v>157.80000000000001</v>
      </c>
      <c r="AF294" s="21">
        <v>163.80000000000001</v>
      </c>
      <c r="AG294" s="21">
        <v>186.1</v>
      </c>
      <c r="AH294" s="21">
        <v>157.30000000000001</v>
      </c>
      <c r="AI294" s="21">
        <v>156.69999999999999</v>
      </c>
    </row>
    <row r="295" spans="1:35" x14ac:dyDescent="0.35">
      <c r="A295" s="21" t="s">
        <v>33</v>
      </c>
      <c r="B295" s="21">
        <v>2021</v>
      </c>
      <c r="C295" s="21" t="s">
        <v>36</v>
      </c>
      <c r="D295" s="17" t="str">
        <f t="shared" si="8"/>
        <v>March-2021</v>
      </c>
      <c r="E295" s="21">
        <v>147.5</v>
      </c>
      <c r="F295" s="21">
        <v>197.5</v>
      </c>
      <c r="G295" s="21">
        <v>164.7</v>
      </c>
      <c r="H295" s="21">
        <v>155.6</v>
      </c>
      <c r="I295" s="21">
        <v>156.4</v>
      </c>
      <c r="J295" s="21">
        <v>157.30000000000001</v>
      </c>
      <c r="K295" s="21">
        <v>166.1</v>
      </c>
      <c r="L295" s="21">
        <v>161.1</v>
      </c>
      <c r="M295" s="21">
        <v>114.3</v>
      </c>
      <c r="N295" s="21">
        <v>162.6</v>
      </c>
      <c r="O295" s="21">
        <v>150.69999999999999</v>
      </c>
      <c r="P295" s="21">
        <v>170.3</v>
      </c>
      <c r="Q295" s="21">
        <v>160.4</v>
      </c>
      <c r="R295" s="21">
        <v>2064.4999999999995</v>
      </c>
      <c r="S295" s="21">
        <v>155.1</v>
      </c>
      <c r="T295" s="21">
        <v>138.69999999999999</v>
      </c>
      <c r="U295" s="21">
        <v>152.6</v>
      </c>
      <c r="V295" s="21">
        <v>446.4</v>
      </c>
      <c r="W295" s="21">
        <v>159.9</v>
      </c>
      <c r="X295" s="21">
        <v>147.19999999999999</v>
      </c>
      <c r="Y295" s="21">
        <v>307.10000000000002</v>
      </c>
      <c r="Z295" s="21">
        <v>156.9</v>
      </c>
      <c r="AA295" s="21">
        <v>154.9</v>
      </c>
      <c r="AB295" s="21">
        <f t="shared" si="9"/>
        <v>311.8</v>
      </c>
      <c r="AC295" s="21">
        <v>154.80000000000001</v>
      </c>
      <c r="AD295" s="21">
        <v>141.69999999999999</v>
      </c>
      <c r="AE295" s="21">
        <v>148.6</v>
      </c>
      <c r="AF295" s="21">
        <v>157.6</v>
      </c>
      <c r="AG295" s="21">
        <v>193.5</v>
      </c>
      <c r="AH295" s="21">
        <v>150</v>
      </c>
      <c r="AI295" s="21">
        <v>156.9</v>
      </c>
    </row>
    <row r="296" spans="1:35" x14ac:dyDescent="0.35">
      <c r="A296" s="21" t="s">
        <v>34</v>
      </c>
      <c r="B296" s="21">
        <v>2021</v>
      </c>
      <c r="C296" s="21" t="s">
        <v>36</v>
      </c>
      <c r="D296" s="17" t="str">
        <f t="shared" si="8"/>
        <v>March-2021</v>
      </c>
      <c r="E296" s="21">
        <v>144.1</v>
      </c>
      <c r="F296" s="21">
        <v>192.2</v>
      </c>
      <c r="G296" s="21">
        <v>163.80000000000001</v>
      </c>
      <c r="H296" s="21">
        <v>154.9</v>
      </c>
      <c r="I296" s="21">
        <v>163.9</v>
      </c>
      <c r="J296" s="21">
        <v>153.69999999999999</v>
      </c>
      <c r="K296" s="21">
        <v>149.5</v>
      </c>
      <c r="L296" s="21">
        <v>159.80000000000001</v>
      </c>
      <c r="M296" s="21">
        <v>112.6</v>
      </c>
      <c r="N296" s="21">
        <v>163.5</v>
      </c>
      <c r="O296" s="21">
        <v>156.5</v>
      </c>
      <c r="P296" s="21">
        <v>168.2</v>
      </c>
      <c r="Q296" s="21">
        <v>156.69999999999999</v>
      </c>
      <c r="R296" s="21">
        <v>2039.3999999999999</v>
      </c>
      <c r="S296" s="21">
        <v>157.80000000000001</v>
      </c>
      <c r="T296" s="21">
        <v>147.9</v>
      </c>
      <c r="U296" s="21">
        <v>156.4</v>
      </c>
      <c r="V296" s="21">
        <v>462.1</v>
      </c>
      <c r="W296" s="21">
        <v>159.9</v>
      </c>
      <c r="X296" s="21">
        <v>151.19999999999999</v>
      </c>
      <c r="Y296" s="21">
        <v>311.10000000000002</v>
      </c>
      <c r="Z296" s="21">
        <v>161.69999999999999</v>
      </c>
      <c r="AA296" s="21">
        <v>153.80000000000001</v>
      </c>
      <c r="AB296" s="21">
        <f t="shared" si="9"/>
        <v>315.5</v>
      </c>
      <c r="AC296" s="21">
        <v>155.5</v>
      </c>
      <c r="AD296" s="21">
        <v>146.19999999999999</v>
      </c>
      <c r="AE296" s="21">
        <v>152.6</v>
      </c>
      <c r="AF296" s="21">
        <v>160.19999999999999</v>
      </c>
      <c r="AG296" s="21">
        <v>188.1</v>
      </c>
      <c r="AH296" s="21">
        <v>153.80000000000001</v>
      </c>
      <c r="AI296" s="21">
        <v>156.80000000000001</v>
      </c>
    </row>
    <row r="297" spans="1:35" x14ac:dyDescent="0.35">
      <c r="A297" s="21" t="s">
        <v>30</v>
      </c>
      <c r="B297" s="21">
        <v>2021</v>
      </c>
      <c r="C297" s="21" t="s">
        <v>37</v>
      </c>
      <c r="D297" s="17" t="str">
        <f t="shared" si="8"/>
        <v>April-2021</v>
      </c>
      <c r="E297" s="21">
        <v>142.69999999999999</v>
      </c>
      <c r="F297" s="21">
        <v>195.5</v>
      </c>
      <c r="G297" s="21">
        <v>163.4</v>
      </c>
      <c r="H297" s="21">
        <v>155</v>
      </c>
      <c r="I297" s="21">
        <v>175.2</v>
      </c>
      <c r="J297" s="21">
        <v>160.6</v>
      </c>
      <c r="K297" s="21">
        <v>135.1</v>
      </c>
      <c r="L297" s="21">
        <v>161.1</v>
      </c>
      <c r="M297" s="21">
        <v>112.2</v>
      </c>
      <c r="N297" s="21">
        <v>164.4</v>
      </c>
      <c r="O297" s="21">
        <v>161.9</v>
      </c>
      <c r="P297" s="21">
        <v>166.8</v>
      </c>
      <c r="Q297" s="21">
        <v>155.6</v>
      </c>
      <c r="R297" s="21">
        <v>2049.5</v>
      </c>
      <c r="S297" s="21">
        <v>160.69999999999999</v>
      </c>
      <c r="T297" s="21">
        <v>155.1</v>
      </c>
      <c r="U297" s="21">
        <v>159.9</v>
      </c>
      <c r="V297" s="21">
        <v>475.69999999999993</v>
      </c>
      <c r="W297" s="21" t="s">
        <v>48</v>
      </c>
      <c r="X297" s="21">
        <v>155.5</v>
      </c>
      <c r="Y297" s="21">
        <v>155.5</v>
      </c>
      <c r="Z297" s="21">
        <v>165.3</v>
      </c>
      <c r="AA297" s="21">
        <v>154.6</v>
      </c>
      <c r="AB297" s="21">
        <f t="shared" si="9"/>
        <v>319.89999999999998</v>
      </c>
      <c r="AC297" s="21">
        <v>156</v>
      </c>
      <c r="AD297" s="21">
        <v>151.69999999999999</v>
      </c>
      <c r="AE297" s="21">
        <v>158.6</v>
      </c>
      <c r="AF297" s="21">
        <v>164.1</v>
      </c>
      <c r="AG297" s="21">
        <v>186.8</v>
      </c>
      <c r="AH297" s="21">
        <v>158</v>
      </c>
      <c r="AI297" s="21">
        <v>157.6</v>
      </c>
    </row>
    <row r="298" spans="1:35" x14ac:dyDescent="0.35">
      <c r="A298" s="21" t="s">
        <v>33</v>
      </c>
      <c r="B298" s="21">
        <v>2021</v>
      </c>
      <c r="C298" s="21" t="s">
        <v>37</v>
      </c>
      <c r="D298" s="17" t="str">
        <f t="shared" si="8"/>
        <v>April-2021</v>
      </c>
      <c r="E298" s="21">
        <v>147.6</v>
      </c>
      <c r="F298" s="21">
        <v>202.5</v>
      </c>
      <c r="G298" s="21">
        <v>166.4</v>
      </c>
      <c r="H298" s="21">
        <v>156</v>
      </c>
      <c r="I298" s="21">
        <v>161.4</v>
      </c>
      <c r="J298" s="21">
        <v>168.8</v>
      </c>
      <c r="K298" s="21">
        <v>161.6</v>
      </c>
      <c r="L298" s="21">
        <v>162.80000000000001</v>
      </c>
      <c r="M298" s="21">
        <v>114.8</v>
      </c>
      <c r="N298" s="21">
        <v>162.80000000000001</v>
      </c>
      <c r="O298" s="21">
        <v>151.5</v>
      </c>
      <c r="P298" s="21">
        <v>171.4</v>
      </c>
      <c r="Q298" s="21">
        <v>162</v>
      </c>
      <c r="R298" s="21">
        <v>2089.6</v>
      </c>
      <c r="S298" s="21">
        <v>155.9</v>
      </c>
      <c r="T298" s="21">
        <v>139.30000000000001</v>
      </c>
      <c r="U298" s="21">
        <v>153.4</v>
      </c>
      <c r="V298" s="21">
        <v>448.6</v>
      </c>
      <c r="W298" s="21">
        <v>161.4</v>
      </c>
      <c r="X298" s="21">
        <v>147.6</v>
      </c>
      <c r="Y298" s="21">
        <v>309</v>
      </c>
      <c r="Z298" s="21">
        <v>157.5</v>
      </c>
      <c r="AA298" s="21">
        <v>156.6</v>
      </c>
      <c r="AB298" s="21">
        <f t="shared" si="9"/>
        <v>314.10000000000002</v>
      </c>
      <c r="AC298" s="21">
        <v>154.9</v>
      </c>
      <c r="AD298" s="21">
        <v>142.1</v>
      </c>
      <c r="AE298" s="21">
        <v>149.1</v>
      </c>
      <c r="AF298" s="21">
        <v>157.6</v>
      </c>
      <c r="AG298" s="21">
        <v>194.4</v>
      </c>
      <c r="AH298" s="21">
        <v>150.5</v>
      </c>
      <c r="AI298" s="21">
        <v>158</v>
      </c>
    </row>
    <row r="299" spans="1:35" x14ac:dyDescent="0.35">
      <c r="A299" s="21" t="s">
        <v>34</v>
      </c>
      <c r="B299" s="21">
        <v>2021</v>
      </c>
      <c r="C299" s="21" t="s">
        <v>37</v>
      </c>
      <c r="D299" s="17" t="str">
        <f t="shared" si="8"/>
        <v>April-2021</v>
      </c>
      <c r="E299" s="21">
        <v>144.30000000000001</v>
      </c>
      <c r="F299" s="21">
        <v>198</v>
      </c>
      <c r="G299" s="21">
        <v>164.6</v>
      </c>
      <c r="H299" s="21">
        <v>155.4</v>
      </c>
      <c r="I299" s="21">
        <v>170.1</v>
      </c>
      <c r="J299" s="21">
        <v>164.4</v>
      </c>
      <c r="K299" s="21">
        <v>144.1</v>
      </c>
      <c r="L299" s="21">
        <v>161.69999999999999</v>
      </c>
      <c r="M299" s="21">
        <v>113.1</v>
      </c>
      <c r="N299" s="21">
        <v>163.9</v>
      </c>
      <c r="O299" s="21">
        <v>157.6</v>
      </c>
      <c r="P299" s="21">
        <v>168.9</v>
      </c>
      <c r="Q299" s="21">
        <v>158</v>
      </c>
      <c r="R299" s="21">
        <v>2064.1</v>
      </c>
      <c r="S299" s="21">
        <v>158.80000000000001</v>
      </c>
      <c r="T299" s="21">
        <v>148.5</v>
      </c>
      <c r="U299" s="21">
        <v>157.30000000000001</v>
      </c>
      <c r="V299" s="21">
        <v>464.6</v>
      </c>
      <c r="W299" s="21">
        <v>161.4</v>
      </c>
      <c r="X299" s="21">
        <v>151.80000000000001</v>
      </c>
      <c r="Y299" s="21">
        <v>313.20000000000005</v>
      </c>
      <c r="Z299" s="21">
        <v>162.30000000000001</v>
      </c>
      <c r="AA299" s="21">
        <v>155.4</v>
      </c>
      <c r="AB299" s="21">
        <f t="shared" si="9"/>
        <v>317.70000000000005</v>
      </c>
      <c r="AC299" s="21">
        <v>155.6</v>
      </c>
      <c r="AD299" s="21">
        <v>146.6</v>
      </c>
      <c r="AE299" s="21">
        <v>153.19999999999999</v>
      </c>
      <c r="AF299" s="21">
        <v>160.30000000000001</v>
      </c>
      <c r="AG299" s="21">
        <v>188.8</v>
      </c>
      <c r="AH299" s="21">
        <v>154.4</v>
      </c>
      <c r="AI299" s="21">
        <v>157.80000000000001</v>
      </c>
    </row>
    <row r="300" spans="1:35" x14ac:dyDescent="0.35">
      <c r="A300" s="21" t="s">
        <v>30</v>
      </c>
      <c r="B300" s="21">
        <v>2021</v>
      </c>
      <c r="C300" s="21" t="s">
        <v>38</v>
      </c>
      <c r="D300" s="17" t="str">
        <f t="shared" si="8"/>
        <v>May-2021</v>
      </c>
      <c r="E300" s="21">
        <v>145.1</v>
      </c>
      <c r="F300" s="21">
        <v>198.5</v>
      </c>
      <c r="G300" s="21">
        <v>168.6</v>
      </c>
      <c r="H300" s="21">
        <v>155.80000000000001</v>
      </c>
      <c r="I300" s="21">
        <v>184.4</v>
      </c>
      <c r="J300" s="21">
        <v>162.30000000000001</v>
      </c>
      <c r="K300" s="21">
        <v>138.4</v>
      </c>
      <c r="L300" s="21">
        <v>165.1</v>
      </c>
      <c r="M300" s="21">
        <v>114.3</v>
      </c>
      <c r="N300" s="21">
        <v>169.7</v>
      </c>
      <c r="O300" s="21">
        <v>164.6</v>
      </c>
      <c r="P300" s="21">
        <v>169.8</v>
      </c>
      <c r="Q300" s="21">
        <v>158.69999999999999</v>
      </c>
      <c r="R300" s="21">
        <v>2095.2999999999997</v>
      </c>
      <c r="S300" s="21">
        <v>165.3</v>
      </c>
      <c r="T300" s="21">
        <v>160.6</v>
      </c>
      <c r="U300" s="21">
        <v>164.5</v>
      </c>
      <c r="V300" s="21">
        <v>490.4</v>
      </c>
      <c r="W300" s="21">
        <v>161.6</v>
      </c>
      <c r="X300" s="21">
        <v>158.80000000000001</v>
      </c>
      <c r="Y300" s="21">
        <v>320.39999999999998</v>
      </c>
      <c r="Z300" s="21">
        <v>169.1</v>
      </c>
      <c r="AA300" s="21">
        <v>159.30000000000001</v>
      </c>
      <c r="AB300" s="21">
        <f t="shared" si="9"/>
        <v>328.4</v>
      </c>
      <c r="AC300" s="21">
        <v>161.69999999999999</v>
      </c>
      <c r="AD300" s="21">
        <v>153.19999999999999</v>
      </c>
      <c r="AE300" s="21">
        <v>160</v>
      </c>
      <c r="AF300" s="21">
        <v>167.6</v>
      </c>
      <c r="AG300" s="21">
        <v>189.6</v>
      </c>
      <c r="AH300" s="21">
        <v>161.1</v>
      </c>
      <c r="AI300" s="21">
        <v>161.1</v>
      </c>
    </row>
    <row r="301" spans="1:35" x14ac:dyDescent="0.35">
      <c r="A301" s="21" t="s">
        <v>33</v>
      </c>
      <c r="B301" s="21">
        <v>2021</v>
      </c>
      <c r="C301" s="21" t="s">
        <v>38</v>
      </c>
      <c r="D301" s="17" t="str">
        <f t="shared" si="8"/>
        <v>May-2021</v>
      </c>
      <c r="E301" s="21">
        <v>148.80000000000001</v>
      </c>
      <c r="F301" s="21">
        <v>204.3</v>
      </c>
      <c r="G301" s="21">
        <v>173</v>
      </c>
      <c r="H301" s="21">
        <v>156.5</v>
      </c>
      <c r="I301" s="21">
        <v>168.8</v>
      </c>
      <c r="J301" s="21">
        <v>172.5</v>
      </c>
      <c r="K301" s="21">
        <v>166.5</v>
      </c>
      <c r="L301" s="21">
        <v>165.9</v>
      </c>
      <c r="M301" s="21">
        <v>115.9</v>
      </c>
      <c r="N301" s="21">
        <v>165.2</v>
      </c>
      <c r="O301" s="21">
        <v>152</v>
      </c>
      <c r="P301" s="21">
        <v>171.1</v>
      </c>
      <c r="Q301" s="21">
        <v>164.2</v>
      </c>
      <c r="R301" s="21">
        <v>2124.7000000000003</v>
      </c>
      <c r="S301" s="21">
        <v>156.5</v>
      </c>
      <c r="T301" s="21">
        <v>140.19999999999999</v>
      </c>
      <c r="U301" s="21">
        <v>154.1</v>
      </c>
      <c r="V301" s="21">
        <v>450.79999999999995</v>
      </c>
      <c r="W301" s="21">
        <v>161.6</v>
      </c>
      <c r="X301" s="21">
        <v>150.1</v>
      </c>
      <c r="Y301" s="21">
        <v>311.7</v>
      </c>
      <c r="Z301" s="21">
        <v>160.4</v>
      </c>
      <c r="AA301" s="21">
        <v>157.5</v>
      </c>
      <c r="AB301" s="21">
        <f t="shared" si="9"/>
        <v>317.89999999999998</v>
      </c>
      <c r="AC301" s="21">
        <v>155.5</v>
      </c>
      <c r="AD301" s="21">
        <v>145</v>
      </c>
      <c r="AE301" s="21">
        <v>152.6</v>
      </c>
      <c r="AF301" s="21">
        <v>156.6</v>
      </c>
      <c r="AG301" s="21">
        <v>198.2</v>
      </c>
      <c r="AH301" s="21">
        <v>152.30000000000001</v>
      </c>
      <c r="AI301" s="21">
        <v>159.5</v>
      </c>
    </row>
    <row r="302" spans="1:35" x14ac:dyDescent="0.35">
      <c r="A302" s="21" t="s">
        <v>34</v>
      </c>
      <c r="B302" s="21">
        <v>2021</v>
      </c>
      <c r="C302" s="21" t="s">
        <v>38</v>
      </c>
      <c r="D302" s="17" t="str">
        <f t="shared" si="8"/>
        <v>May-2021</v>
      </c>
      <c r="E302" s="21">
        <v>146.30000000000001</v>
      </c>
      <c r="F302" s="21">
        <v>200.5</v>
      </c>
      <c r="G302" s="21">
        <v>170.3</v>
      </c>
      <c r="H302" s="21">
        <v>156.1</v>
      </c>
      <c r="I302" s="21">
        <v>178.7</v>
      </c>
      <c r="J302" s="21">
        <v>167.1</v>
      </c>
      <c r="K302" s="21">
        <v>147.9</v>
      </c>
      <c r="L302" s="21">
        <v>165.4</v>
      </c>
      <c r="M302" s="21">
        <v>114.8</v>
      </c>
      <c r="N302" s="21">
        <v>168.2</v>
      </c>
      <c r="O302" s="21">
        <v>159.30000000000001</v>
      </c>
      <c r="P302" s="21">
        <v>170.4</v>
      </c>
      <c r="Q302" s="21">
        <v>160.69999999999999</v>
      </c>
      <c r="R302" s="21">
        <v>2105.7000000000003</v>
      </c>
      <c r="S302" s="21">
        <v>161.80000000000001</v>
      </c>
      <c r="T302" s="21">
        <v>152.1</v>
      </c>
      <c r="U302" s="21">
        <v>160.4</v>
      </c>
      <c r="V302" s="21">
        <v>474.29999999999995</v>
      </c>
      <c r="W302" s="21">
        <v>161.6</v>
      </c>
      <c r="X302" s="21">
        <v>154.69999999999999</v>
      </c>
      <c r="Y302" s="21">
        <v>316.29999999999995</v>
      </c>
      <c r="Z302" s="21">
        <v>165.8</v>
      </c>
      <c r="AA302" s="21">
        <v>158.6</v>
      </c>
      <c r="AB302" s="21">
        <f t="shared" si="9"/>
        <v>324.39999999999998</v>
      </c>
      <c r="AC302" s="21">
        <v>159.4</v>
      </c>
      <c r="AD302" s="21">
        <v>148.9</v>
      </c>
      <c r="AE302" s="21">
        <v>155.80000000000001</v>
      </c>
      <c r="AF302" s="21">
        <v>161.19999999999999</v>
      </c>
      <c r="AG302" s="21">
        <v>191.9</v>
      </c>
      <c r="AH302" s="21">
        <v>156.80000000000001</v>
      </c>
      <c r="AI302" s="21">
        <v>160.4</v>
      </c>
    </row>
    <row r="303" spans="1:35" x14ac:dyDescent="0.35">
      <c r="A303" s="21" t="s">
        <v>30</v>
      </c>
      <c r="B303" s="21">
        <v>2021</v>
      </c>
      <c r="C303" s="21" t="s">
        <v>39</v>
      </c>
      <c r="D303" s="17" t="str">
        <f t="shared" si="8"/>
        <v>June-2021</v>
      </c>
      <c r="E303" s="21">
        <v>145.6</v>
      </c>
      <c r="F303" s="21">
        <v>200.1</v>
      </c>
      <c r="G303" s="21">
        <v>179.3</v>
      </c>
      <c r="H303" s="21">
        <v>156.1</v>
      </c>
      <c r="I303" s="21">
        <v>190.4</v>
      </c>
      <c r="J303" s="21">
        <v>158.6</v>
      </c>
      <c r="K303" s="21">
        <v>144.69999999999999</v>
      </c>
      <c r="L303" s="21">
        <v>165.5</v>
      </c>
      <c r="M303" s="21">
        <v>114.6</v>
      </c>
      <c r="N303" s="21">
        <v>170</v>
      </c>
      <c r="O303" s="21">
        <v>165.5</v>
      </c>
      <c r="P303" s="21">
        <v>171.7</v>
      </c>
      <c r="Q303" s="21">
        <v>160.5</v>
      </c>
      <c r="R303" s="21">
        <v>2122.6</v>
      </c>
      <c r="S303" s="21">
        <v>165.3</v>
      </c>
      <c r="T303" s="21">
        <v>159.9</v>
      </c>
      <c r="U303" s="21">
        <v>164.6</v>
      </c>
      <c r="V303" s="21">
        <v>489.80000000000007</v>
      </c>
      <c r="W303" s="21">
        <v>160.5</v>
      </c>
      <c r="X303" s="21">
        <v>159.19999999999999</v>
      </c>
      <c r="Y303" s="21">
        <v>319.7</v>
      </c>
      <c r="Z303" s="21">
        <v>169.7</v>
      </c>
      <c r="AA303" s="21">
        <v>159.4</v>
      </c>
      <c r="AB303" s="21">
        <f t="shared" si="9"/>
        <v>329.1</v>
      </c>
      <c r="AC303" s="21">
        <v>162.1</v>
      </c>
      <c r="AD303" s="21">
        <v>154.19999999999999</v>
      </c>
      <c r="AE303" s="21">
        <v>160.4</v>
      </c>
      <c r="AF303" s="21">
        <v>166.8</v>
      </c>
      <c r="AG303" s="21">
        <v>189.1</v>
      </c>
      <c r="AH303" s="21">
        <v>161.5</v>
      </c>
      <c r="AI303" s="21">
        <v>162.1</v>
      </c>
    </row>
    <row r="304" spans="1:35" x14ac:dyDescent="0.35">
      <c r="A304" s="21" t="s">
        <v>33</v>
      </c>
      <c r="B304" s="21">
        <v>2021</v>
      </c>
      <c r="C304" s="21" t="s">
        <v>39</v>
      </c>
      <c r="D304" s="17" t="str">
        <f t="shared" si="8"/>
        <v>June-2021</v>
      </c>
      <c r="E304" s="21">
        <v>149.19999999999999</v>
      </c>
      <c r="F304" s="21">
        <v>205.5</v>
      </c>
      <c r="G304" s="21">
        <v>182.8</v>
      </c>
      <c r="H304" s="21">
        <v>156.5</v>
      </c>
      <c r="I304" s="21">
        <v>172.2</v>
      </c>
      <c r="J304" s="21">
        <v>171.5</v>
      </c>
      <c r="K304" s="21">
        <v>176.2</v>
      </c>
      <c r="L304" s="21">
        <v>166.9</v>
      </c>
      <c r="M304" s="21">
        <v>116.1</v>
      </c>
      <c r="N304" s="21">
        <v>165.5</v>
      </c>
      <c r="O304" s="21">
        <v>152.30000000000001</v>
      </c>
      <c r="P304" s="21">
        <v>173.3</v>
      </c>
      <c r="Q304" s="21">
        <v>166.2</v>
      </c>
      <c r="R304" s="21">
        <v>2154.1999999999998</v>
      </c>
      <c r="S304" s="21">
        <v>157.30000000000001</v>
      </c>
      <c r="T304" s="21">
        <v>140.5</v>
      </c>
      <c r="U304" s="21">
        <v>154.80000000000001</v>
      </c>
      <c r="V304" s="21">
        <v>452.6</v>
      </c>
      <c r="W304" s="21">
        <v>160.5</v>
      </c>
      <c r="X304" s="21">
        <v>149.80000000000001</v>
      </c>
      <c r="Y304" s="21">
        <v>310.3</v>
      </c>
      <c r="Z304" s="21">
        <v>160.80000000000001</v>
      </c>
      <c r="AA304" s="21">
        <v>158</v>
      </c>
      <c r="AB304" s="21">
        <f t="shared" si="9"/>
        <v>318.8</v>
      </c>
      <c r="AC304" s="21">
        <v>156.1</v>
      </c>
      <c r="AD304" s="21">
        <v>147.5</v>
      </c>
      <c r="AE304" s="21">
        <v>150.69999999999999</v>
      </c>
      <c r="AF304" s="21">
        <v>158.1</v>
      </c>
      <c r="AG304" s="21">
        <v>195.6</v>
      </c>
      <c r="AH304" s="21">
        <v>153.4</v>
      </c>
      <c r="AI304" s="21">
        <v>160.4</v>
      </c>
    </row>
    <row r="305" spans="1:35" x14ac:dyDescent="0.35">
      <c r="A305" s="21" t="s">
        <v>34</v>
      </c>
      <c r="B305" s="21">
        <v>2021</v>
      </c>
      <c r="C305" s="21" t="s">
        <v>39</v>
      </c>
      <c r="D305" s="17" t="str">
        <f t="shared" si="8"/>
        <v>June-2021</v>
      </c>
      <c r="E305" s="21">
        <v>146.69999999999999</v>
      </c>
      <c r="F305" s="21">
        <v>202</v>
      </c>
      <c r="G305" s="21">
        <v>180.7</v>
      </c>
      <c r="H305" s="21">
        <v>156.19999999999999</v>
      </c>
      <c r="I305" s="21">
        <v>183.7</v>
      </c>
      <c r="J305" s="21">
        <v>164.6</v>
      </c>
      <c r="K305" s="21">
        <v>155.4</v>
      </c>
      <c r="L305" s="21">
        <v>166</v>
      </c>
      <c r="M305" s="21">
        <v>115.1</v>
      </c>
      <c r="N305" s="21">
        <v>168.5</v>
      </c>
      <c r="O305" s="21">
        <v>160</v>
      </c>
      <c r="P305" s="21">
        <v>172.4</v>
      </c>
      <c r="Q305" s="21">
        <v>162.6</v>
      </c>
      <c r="R305" s="21">
        <v>2133.9</v>
      </c>
      <c r="S305" s="21">
        <v>162.19999999999999</v>
      </c>
      <c r="T305" s="21">
        <v>151.80000000000001</v>
      </c>
      <c r="U305" s="21">
        <v>160.69999999999999</v>
      </c>
      <c r="V305" s="21">
        <v>474.7</v>
      </c>
      <c r="W305" s="21">
        <v>160.5</v>
      </c>
      <c r="X305" s="21">
        <v>154.80000000000001</v>
      </c>
      <c r="Y305" s="21">
        <v>315.3</v>
      </c>
      <c r="Z305" s="21">
        <v>166.3</v>
      </c>
      <c r="AA305" s="21">
        <v>158.80000000000001</v>
      </c>
      <c r="AB305" s="21">
        <f t="shared" si="9"/>
        <v>325.10000000000002</v>
      </c>
      <c r="AC305" s="21">
        <v>159.80000000000001</v>
      </c>
      <c r="AD305" s="21">
        <v>150.69999999999999</v>
      </c>
      <c r="AE305" s="21">
        <v>154.9</v>
      </c>
      <c r="AF305" s="21">
        <v>161.69999999999999</v>
      </c>
      <c r="AG305" s="21">
        <v>190.8</v>
      </c>
      <c r="AH305" s="21">
        <v>157.6</v>
      </c>
      <c r="AI305" s="21">
        <v>161.30000000000001</v>
      </c>
    </row>
    <row r="306" spans="1:35" x14ac:dyDescent="0.35">
      <c r="A306" s="21" t="s">
        <v>30</v>
      </c>
      <c r="B306" s="21">
        <v>2021</v>
      </c>
      <c r="C306" s="21" t="s">
        <v>40</v>
      </c>
      <c r="D306" s="17" t="str">
        <f t="shared" si="8"/>
        <v>July-2021</v>
      </c>
      <c r="E306" s="21">
        <v>145.1</v>
      </c>
      <c r="F306" s="21">
        <v>204.5</v>
      </c>
      <c r="G306" s="21">
        <v>180.4</v>
      </c>
      <c r="H306" s="21">
        <v>157.1</v>
      </c>
      <c r="I306" s="21">
        <v>188.7</v>
      </c>
      <c r="J306" s="21">
        <v>157.69999999999999</v>
      </c>
      <c r="K306" s="21">
        <v>152.80000000000001</v>
      </c>
      <c r="L306" s="21">
        <v>163.6</v>
      </c>
      <c r="M306" s="21">
        <v>113.9</v>
      </c>
      <c r="N306" s="21">
        <v>169.7</v>
      </c>
      <c r="O306" s="21">
        <v>166.2</v>
      </c>
      <c r="P306" s="21">
        <v>171</v>
      </c>
      <c r="Q306" s="21">
        <v>161.69999999999999</v>
      </c>
      <c r="R306" s="21">
        <v>2132.4</v>
      </c>
      <c r="S306" s="21">
        <v>166</v>
      </c>
      <c r="T306" s="21">
        <v>161.1</v>
      </c>
      <c r="U306" s="21">
        <v>165.3</v>
      </c>
      <c r="V306" s="21">
        <v>492.40000000000003</v>
      </c>
      <c r="W306" s="21">
        <v>161.5</v>
      </c>
      <c r="X306" s="21">
        <v>160.30000000000001</v>
      </c>
      <c r="Y306" s="21">
        <v>321.8</v>
      </c>
      <c r="Z306" s="21">
        <v>170.4</v>
      </c>
      <c r="AA306" s="21">
        <v>160.4</v>
      </c>
      <c r="AB306" s="21">
        <f t="shared" si="9"/>
        <v>330.8</v>
      </c>
      <c r="AC306" s="21">
        <v>162.5</v>
      </c>
      <c r="AD306" s="21">
        <v>157.1</v>
      </c>
      <c r="AE306" s="21">
        <v>160.69999999999999</v>
      </c>
      <c r="AF306" s="21">
        <v>167.2</v>
      </c>
      <c r="AG306" s="21">
        <v>189.7</v>
      </c>
      <c r="AH306" s="21">
        <v>162.80000000000001</v>
      </c>
      <c r="AI306" s="21">
        <v>163.19999999999999</v>
      </c>
    </row>
    <row r="307" spans="1:35" x14ac:dyDescent="0.35">
      <c r="A307" s="21" t="s">
        <v>33</v>
      </c>
      <c r="B307" s="21">
        <v>2021</v>
      </c>
      <c r="C307" s="21" t="s">
        <v>40</v>
      </c>
      <c r="D307" s="17" t="str">
        <f t="shared" si="8"/>
        <v>July-2021</v>
      </c>
      <c r="E307" s="21">
        <v>149.1</v>
      </c>
      <c r="F307" s="21">
        <v>210.9</v>
      </c>
      <c r="G307" s="21">
        <v>185</v>
      </c>
      <c r="H307" s="21">
        <v>158.19999999999999</v>
      </c>
      <c r="I307" s="21">
        <v>170.6</v>
      </c>
      <c r="J307" s="21">
        <v>170.9</v>
      </c>
      <c r="K307" s="21">
        <v>186.4</v>
      </c>
      <c r="L307" s="21">
        <v>164.7</v>
      </c>
      <c r="M307" s="21">
        <v>115.7</v>
      </c>
      <c r="N307" s="21">
        <v>165.5</v>
      </c>
      <c r="O307" s="21">
        <v>153.4</v>
      </c>
      <c r="P307" s="21">
        <v>173.5</v>
      </c>
      <c r="Q307" s="21">
        <v>167.9</v>
      </c>
      <c r="R307" s="21">
        <v>2171.8000000000002</v>
      </c>
      <c r="S307" s="21">
        <v>157.9</v>
      </c>
      <c r="T307" s="21">
        <v>141.9</v>
      </c>
      <c r="U307" s="21">
        <v>155.5</v>
      </c>
      <c r="V307" s="21">
        <v>455.3</v>
      </c>
      <c r="W307" s="21">
        <v>161.5</v>
      </c>
      <c r="X307" s="21">
        <v>150.69999999999999</v>
      </c>
      <c r="Y307" s="21">
        <v>312.2</v>
      </c>
      <c r="Z307" s="21">
        <v>161.5</v>
      </c>
      <c r="AA307" s="21">
        <v>159.6</v>
      </c>
      <c r="AB307" s="21">
        <f t="shared" si="9"/>
        <v>321.10000000000002</v>
      </c>
      <c r="AC307" s="21">
        <v>157.69999999999999</v>
      </c>
      <c r="AD307" s="21">
        <v>149.5</v>
      </c>
      <c r="AE307" s="21">
        <v>151.19999999999999</v>
      </c>
      <c r="AF307" s="21">
        <v>160.30000000000001</v>
      </c>
      <c r="AG307" s="21">
        <v>195.5</v>
      </c>
      <c r="AH307" s="21">
        <v>155</v>
      </c>
      <c r="AI307" s="21">
        <v>161.80000000000001</v>
      </c>
    </row>
    <row r="308" spans="1:35" x14ac:dyDescent="0.35">
      <c r="A308" s="21" t="s">
        <v>34</v>
      </c>
      <c r="B308" s="21">
        <v>2021</v>
      </c>
      <c r="C308" s="21" t="s">
        <v>40</v>
      </c>
      <c r="D308" s="17" t="str">
        <f t="shared" si="8"/>
        <v>July-2021</v>
      </c>
      <c r="E308" s="21">
        <v>146.4</v>
      </c>
      <c r="F308" s="21">
        <v>206.8</v>
      </c>
      <c r="G308" s="21">
        <v>182.2</v>
      </c>
      <c r="H308" s="21">
        <v>157.5</v>
      </c>
      <c r="I308" s="21">
        <v>182.1</v>
      </c>
      <c r="J308" s="21">
        <v>163.9</v>
      </c>
      <c r="K308" s="21">
        <v>164.2</v>
      </c>
      <c r="L308" s="21">
        <v>164</v>
      </c>
      <c r="M308" s="21">
        <v>114.5</v>
      </c>
      <c r="N308" s="21">
        <v>168.3</v>
      </c>
      <c r="O308" s="21">
        <v>160.9</v>
      </c>
      <c r="P308" s="21">
        <v>172.2</v>
      </c>
      <c r="Q308" s="21">
        <v>164</v>
      </c>
      <c r="R308" s="21">
        <v>2147</v>
      </c>
      <c r="S308" s="21">
        <v>162.80000000000001</v>
      </c>
      <c r="T308" s="21">
        <v>153.1</v>
      </c>
      <c r="U308" s="21">
        <v>161.4</v>
      </c>
      <c r="V308" s="21">
        <v>477.29999999999995</v>
      </c>
      <c r="W308" s="21">
        <v>161.5</v>
      </c>
      <c r="X308" s="21">
        <v>155.80000000000001</v>
      </c>
      <c r="Y308" s="21">
        <v>317.3</v>
      </c>
      <c r="Z308" s="21">
        <v>167</v>
      </c>
      <c r="AA308" s="21">
        <v>160.1</v>
      </c>
      <c r="AB308" s="21">
        <f t="shared" si="9"/>
        <v>327.10000000000002</v>
      </c>
      <c r="AC308" s="21">
        <v>160.69999999999999</v>
      </c>
      <c r="AD308" s="21">
        <v>153.1</v>
      </c>
      <c r="AE308" s="21">
        <v>155.30000000000001</v>
      </c>
      <c r="AF308" s="21">
        <v>163.19999999999999</v>
      </c>
      <c r="AG308" s="21">
        <v>191.2</v>
      </c>
      <c r="AH308" s="21">
        <v>159</v>
      </c>
      <c r="AI308" s="21">
        <v>162.5</v>
      </c>
    </row>
    <row r="309" spans="1:35" x14ac:dyDescent="0.35">
      <c r="A309" s="21" t="s">
        <v>30</v>
      </c>
      <c r="B309" s="21">
        <v>2021</v>
      </c>
      <c r="C309" s="21" t="s">
        <v>41</v>
      </c>
      <c r="D309" s="17" t="str">
        <f t="shared" si="8"/>
        <v>August-2021</v>
      </c>
      <c r="E309" s="21">
        <v>144.9</v>
      </c>
      <c r="F309" s="21">
        <v>202.3</v>
      </c>
      <c r="G309" s="21">
        <v>176.5</v>
      </c>
      <c r="H309" s="21">
        <v>157.5</v>
      </c>
      <c r="I309" s="21">
        <v>190.9</v>
      </c>
      <c r="J309" s="21">
        <v>155.69999999999999</v>
      </c>
      <c r="K309" s="21">
        <v>153.9</v>
      </c>
      <c r="L309" s="21">
        <v>162.80000000000001</v>
      </c>
      <c r="M309" s="21">
        <v>115.2</v>
      </c>
      <c r="N309" s="21">
        <v>169.8</v>
      </c>
      <c r="O309" s="21">
        <v>167.6</v>
      </c>
      <c r="P309" s="21">
        <v>171.9</v>
      </c>
      <c r="Q309" s="21">
        <v>161.80000000000001</v>
      </c>
      <c r="R309" s="21">
        <v>2130.8000000000002</v>
      </c>
      <c r="S309" s="21">
        <v>167</v>
      </c>
      <c r="T309" s="21">
        <v>162.6</v>
      </c>
      <c r="U309" s="21">
        <v>166.3</v>
      </c>
      <c r="V309" s="21">
        <v>495.90000000000003</v>
      </c>
      <c r="W309" s="21">
        <v>162.1</v>
      </c>
      <c r="X309" s="21">
        <v>160.9</v>
      </c>
      <c r="Y309" s="21">
        <v>323</v>
      </c>
      <c r="Z309" s="21">
        <v>171.1</v>
      </c>
      <c r="AA309" s="21">
        <v>160.30000000000001</v>
      </c>
      <c r="AB309" s="21">
        <f t="shared" si="9"/>
        <v>331.4</v>
      </c>
      <c r="AC309" s="21">
        <v>163.1</v>
      </c>
      <c r="AD309" s="21">
        <v>157.69999999999999</v>
      </c>
      <c r="AE309" s="21">
        <v>161.1</v>
      </c>
      <c r="AF309" s="21">
        <v>167.5</v>
      </c>
      <c r="AG309" s="21">
        <v>190.2</v>
      </c>
      <c r="AH309" s="21">
        <v>163.30000000000001</v>
      </c>
      <c r="AI309" s="21">
        <v>163.6</v>
      </c>
    </row>
    <row r="310" spans="1:35" x14ac:dyDescent="0.35">
      <c r="A310" s="21" t="s">
        <v>33</v>
      </c>
      <c r="B310" s="21">
        <v>2021</v>
      </c>
      <c r="C310" s="21" t="s">
        <v>41</v>
      </c>
      <c r="D310" s="17" t="str">
        <f t="shared" si="8"/>
        <v>August-2021</v>
      </c>
      <c r="E310" s="21">
        <v>149.30000000000001</v>
      </c>
      <c r="F310" s="21">
        <v>207.4</v>
      </c>
      <c r="G310" s="21">
        <v>174.1</v>
      </c>
      <c r="H310" s="21">
        <v>159.19999999999999</v>
      </c>
      <c r="I310" s="21">
        <v>175</v>
      </c>
      <c r="J310" s="21">
        <v>161.30000000000001</v>
      </c>
      <c r="K310" s="21">
        <v>183.3</v>
      </c>
      <c r="L310" s="21">
        <v>164.5</v>
      </c>
      <c r="M310" s="21">
        <v>120.4</v>
      </c>
      <c r="N310" s="21">
        <v>166.2</v>
      </c>
      <c r="O310" s="21">
        <v>154.80000000000001</v>
      </c>
      <c r="P310" s="21">
        <v>175.1</v>
      </c>
      <c r="Q310" s="21">
        <v>167.3</v>
      </c>
      <c r="R310" s="21">
        <v>2157.9</v>
      </c>
      <c r="S310" s="21">
        <v>159.80000000000001</v>
      </c>
      <c r="T310" s="21">
        <v>143.6</v>
      </c>
      <c r="U310" s="21">
        <v>157.30000000000001</v>
      </c>
      <c r="V310" s="21">
        <v>460.7</v>
      </c>
      <c r="W310" s="21">
        <v>162.1</v>
      </c>
      <c r="X310" s="21">
        <v>153.19999999999999</v>
      </c>
      <c r="Y310" s="21">
        <v>315.29999999999995</v>
      </c>
      <c r="Z310" s="21">
        <v>162.80000000000001</v>
      </c>
      <c r="AA310" s="21">
        <v>159.6</v>
      </c>
      <c r="AB310" s="21">
        <f t="shared" si="9"/>
        <v>322.39999999999998</v>
      </c>
      <c r="AC310" s="21">
        <v>160.69999999999999</v>
      </c>
      <c r="AD310" s="21">
        <v>150.4</v>
      </c>
      <c r="AE310" s="21">
        <v>153.69999999999999</v>
      </c>
      <c r="AF310" s="21">
        <v>160.4</v>
      </c>
      <c r="AG310" s="21">
        <v>196.5</v>
      </c>
      <c r="AH310" s="21">
        <v>156</v>
      </c>
      <c r="AI310" s="21">
        <v>162.30000000000001</v>
      </c>
    </row>
    <row r="311" spans="1:35" x14ac:dyDescent="0.35">
      <c r="A311" s="21" t="s">
        <v>34</v>
      </c>
      <c r="B311" s="21">
        <v>2021</v>
      </c>
      <c r="C311" s="21" t="s">
        <v>41</v>
      </c>
      <c r="D311" s="17" t="str">
        <f t="shared" si="8"/>
        <v>August-2021</v>
      </c>
      <c r="E311" s="21">
        <v>146.6</v>
      </c>
      <c r="F311" s="21">
        <v>204</v>
      </c>
      <c r="G311" s="21">
        <v>172.8</v>
      </c>
      <c r="H311" s="21">
        <v>158.4</v>
      </c>
      <c r="I311" s="21">
        <v>188</v>
      </c>
      <c r="J311" s="21">
        <v>156.80000000000001</v>
      </c>
      <c r="K311" s="21">
        <v>162.19999999999999</v>
      </c>
      <c r="L311" s="21">
        <v>164.1</v>
      </c>
      <c r="M311" s="21">
        <v>119.7</v>
      </c>
      <c r="N311" s="21">
        <v>168.8</v>
      </c>
      <c r="O311" s="21">
        <v>162.69999999999999</v>
      </c>
      <c r="P311" s="21">
        <v>173.9</v>
      </c>
      <c r="Q311" s="21">
        <v>164</v>
      </c>
      <c r="R311" s="21">
        <v>2142</v>
      </c>
      <c r="S311" s="21">
        <v>164.5</v>
      </c>
      <c r="T311" s="21">
        <v>155.30000000000001</v>
      </c>
      <c r="U311" s="21">
        <v>163.19999999999999</v>
      </c>
      <c r="V311" s="21">
        <v>483</v>
      </c>
      <c r="W311" s="21">
        <v>162.1</v>
      </c>
      <c r="X311" s="21">
        <v>157.5</v>
      </c>
      <c r="Y311" s="21">
        <v>319.60000000000002</v>
      </c>
      <c r="Z311" s="21">
        <v>168.4</v>
      </c>
      <c r="AA311" s="21">
        <v>160</v>
      </c>
      <c r="AB311" s="21">
        <f t="shared" si="9"/>
        <v>328.4</v>
      </c>
      <c r="AC311" s="21">
        <v>162.6</v>
      </c>
      <c r="AD311" s="21">
        <v>154</v>
      </c>
      <c r="AE311" s="21">
        <v>157.6</v>
      </c>
      <c r="AF311" s="21">
        <v>163.80000000000001</v>
      </c>
      <c r="AG311" s="21">
        <v>192.1</v>
      </c>
      <c r="AH311" s="21">
        <v>160</v>
      </c>
      <c r="AI311" s="21">
        <v>163.19999999999999</v>
      </c>
    </row>
    <row r="312" spans="1:35" x14ac:dyDescent="0.35">
      <c r="A312" s="21" t="s">
        <v>30</v>
      </c>
      <c r="B312" s="21">
        <v>2021</v>
      </c>
      <c r="C312" s="21" t="s">
        <v>42</v>
      </c>
      <c r="D312" s="17" t="str">
        <f t="shared" si="8"/>
        <v>September-2021</v>
      </c>
      <c r="E312" s="21">
        <v>145.4</v>
      </c>
      <c r="F312" s="21">
        <v>202.1</v>
      </c>
      <c r="G312" s="21">
        <v>172</v>
      </c>
      <c r="H312" s="21">
        <v>158</v>
      </c>
      <c r="I312" s="21">
        <v>195.5</v>
      </c>
      <c r="J312" s="21">
        <v>152.69999999999999</v>
      </c>
      <c r="K312" s="21">
        <v>151.4</v>
      </c>
      <c r="L312" s="21">
        <v>163.9</v>
      </c>
      <c r="M312" s="21">
        <v>119.3</v>
      </c>
      <c r="N312" s="21">
        <v>170.1</v>
      </c>
      <c r="O312" s="21">
        <v>168.3</v>
      </c>
      <c r="P312" s="21">
        <v>172.8</v>
      </c>
      <c r="Q312" s="21">
        <v>162.1</v>
      </c>
      <c r="R312" s="21">
        <v>2133.6</v>
      </c>
      <c r="S312" s="21">
        <v>167.7</v>
      </c>
      <c r="T312" s="21">
        <v>163.6</v>
      </c>
      <c r="U312" s="21">
        <v>167.1</v>
      </c>
      <c r="V312" s="21">
        <v>498.4</v>
      </c>
      <c r="W312" s="21">
        <v>162.1</v>
      </c>
      <c r="X312" s="21">
        <v>161.30000000000001</v>
      </c>
      <c r="Y312" s="21">
        <v>323.39999999999998</v>
      </c>
      <c r="Z312" s="21">
        <v>171.9</v>
      </c>
      <c r="AA312" s="21">
        <v>160.19999999999999</v>
      </c>
      <c r="AB312" s="21">
        <f t="shared" si="9"/>
        <v>332.1</v>
      </c>
      <c r="AC312" s="21">
        <v>163.69999999999999</v>
      </c>
      <c r="AD312" s="21">
        <v>157.80000000000001</v>
      </c>
      <c r="AE312" s="21">
        <v>162.69999999999999</v>
      </c>
      <c r="AF312" s="21">
        <v>168.5</v>
      </c>
      <c r="AG312" s="21">
        <v>190.5</v>
      </c>
      <c r="AH312" s="21">
        <v>163.80000000000001</v>
      </c>
      <c r="AI312" s="21">
        <v>164</v>
      </c>
    </row>
    <row r="313" spans="1:35" x14ac:dyDescent="0.35">
      <c r="A313" s="21" t="s">
        <v>33</v>
      </c>
      <c r="B313" s="21">
        <v>2021</v>
      </c>
      <c r="C313" s="21" t="s">
        <v>42</v>
      </c>
      <c r="D313" s="17" t="str">
        <f t="shared" si="8"/>
        <v>September-2021</v>
      </c>
      <c r="E313" s="21">
        <v>149.30000000000001</v>
      </c>
      <c r="F313" s="21">
        <v>207.4</v>
      </c>
      <c r="G313" s="21">
        <v>174.1</v>
      </c>
      <c r="H313" s="21">
        <v>159.1</v>
      </c>
      <c r="I313" s="21">
        <v>175</v>
      </c>
      <c r="J313" s="21">
        <v>161.19999999999999</v>
      </c>
      <c r="K313" s="21">
        <v>183.5</v>
      </c>
      <c r="L313" s="21">
        <v>164.5</v>
      </c>
      <c r="M313" s="21">
        <v>120.4</v>
      </c>
      <c r="N313" s="21">
        <v>166.2</v>
      </c>
      <c r="O313" s="21">
        <v>154.80000000000001</v>
      </c>
      <c r="P313" s="21">
        <v>175.1</v>
      </c>
      <c r="Q313" s="21">
        <v>167.3</v>
      </c>
      <c r="R313" s="21">
        <v>2157.9</v>
      </c>
      <c r="S313" s="21">
        <v>159.80000000000001</v>
      </c>
      <c r="T313" s="21">
        <v>143.6</v>
      </c>
      <c r="U313" s="21">
        <v>157.4</v>
      </c>
      <c r="V313" s="21">
        <v>460.79999999999995</v>
      </c>
      <c r="W313" s="21">
        <v>162.1</v>
      </c>
      <c r="X313" s="21">
        <v>153.30000000000001</v>
      </c>
      <c r="Y313" s="21">
        <v>315.39999999999998</v>
      </c>
      <c r="Z313" s="21">
        <v>162.80000000000001</v>
      </c>
      <c r="AA313" s="21">
        <v>159.6</v>
      </c>
      <c r="AB313" s="21">
        <f t="shared" si="9"/>
        <v>322.39999999999998</v>
      </c>
      <c r="AC313" s="21">
        <v>160.80000000000001</v>
      </c>
      <c r="AD313" s="21">
        <v>150.5</v>
      </c>
      <c r="AE313" s="21">
        <v>153.9</v>
      </c>
      <c r="AF313" s="21">
        <v>160.30000000000001</v>
      </c>
      <c r="AG313" s="21">
        <v>196.5</v>
      </c>
      <c r="AH313" s="21">
        <v>156</v>
      </c>
      <c r="AI313" s="21">
        <v>162.30000000000001</v>
      </c>
    </row>
    <row r="314" spans="1:35" x14ac:dyDescent="0.35">
      <c r="A314" s="21" t="s">
        <v>34</v>
      </c>
      <c r="B314" s="21">
        <v>2021</v>
      </c>
      <c r="C314" s="21" t="s">
        <v>42</v>
      </c>
      <c r="D314" s="17" t="str">
        <f t="shared" si="8"/>
        <v>September-2021</v>
      </c>
      <c r="E314" s="21">
        <v>146.6</v>
      </c>
      <c r="F314" s="21">
        <v>204</v>
      </c>
      <c r="G314" s="21">
        <v>172.8</v>
      </c>
      <c r="H314" s="21">
        <v>158.4</v>
      </c>
      <c r="I314" s="21">
        <v>188</v>
      </c>
      <c r="J314" s="21">
        <v>156.69999999999999</v>
      </c>
      <c r="K314" s="21">
        <v>162.30000000000001</v>
      </c>
      <c r="L314" s="21">
        <v>164.1</v>
      </c>
      <c r="M314" s="21">
        <v>119.7</v>
      </c>
      <c r="N314" s="21">
        <v>168.8</v>
      </c>
      <c r="O314" s="21">
        <v>162.69999999999999</v>
      </c>
      <c r="P314" s="21">
        <v>173.9</v>
      </c>
      <c r="Q314" s="21">
        <v>164</v>
      </c>
      <c r="R314" s="21">
        <v>2142</v>
      </c>
      <c r="S314" s="21">
        <v>164.6</v>
      </c>
      <c r="T314" s="21">
        <v>155.30000000000001</v>
      </c>
      <c r="U314" s="21">
        <v>163.30000000000001</v>
      </c>
      <c r="V314" s="21">
        <v>483.2</v>
      </c>
      <c r="W314" s="21">
        <v>162.1</v>
      </c>
      <c r="X314" s="21">
        <v>157.5</v>
      </c>
      <c r="Y314" s="21">
        <v>319.60000000000002</v>
      </c>
      <c r="Z314" s="21">
        <v>168.4</v>
      </c>
      <c r="AA314" s="21">
        <v>160</v>
      </c>
      <c r="AB314" s="21">
        <f t="shared" si="9"/>
        <v>328.4</v>
      </c>
      <c r="AC314" s="21">
        <v>162.6</v>
      </c>
      <c r="AD314" s="21">
        <v>154</v>
      </c>
      <c r="AE314" s="21">
        <v>157.69999999999999</v>
      </c>
      <c r="AF314" s="21">
        <v>163.69999999999999</v>
      </c>
      <c r="AG314" s="21">
        <v>192.1</v>
      </c>
      <c r="AH314" s="21">
        <v>160</v>
      </c>
      <c r="AI314" s="21">
        <v>163.19999999999999</v>
      </c>
    </row>
    <row r="315" spans="1:35" x14ac:dyDescent="0.35">
      <c r="A315" s="21" t="s">
        <v>30</v>
      </c>
      <c r="B315" s="21">
        <v>2021</v>
      </c>
      <c r="C315" s="21" t="s">
        <v>43</v>
      </c>
      <c r="D315" s="17" t="str">
        <f t="shared" si="8"/>
        <v>October-2021</v>
      </c>
      <c r="E315" s="21">
        <v>146.1</v>
      </c>
      <c r="F315" s="21">
        <v>202.5</v>
      </c>
      <c r="G315" s="21">
        <v>170.1</v>
      </c>
      <c r="H315" s="21">
        <v>158.4</v>
      </c>
      <c r="I315" s="21">
        <v>198.8</v>
      </c>
      <c r="J315" s="21">
        <v>152.6</v>
      </c>
      <c r="K315" s="21">
        <v>170.4</v>
      </c>
      <c r="L315" s="21">
        <v>165.2</v>
      </c>
      <c r="M315" s="21">
        <v>121.6</v>
      </c>
      <c r="N315" s="21">
        <v>170.6</v>
      </c>
      <c r="O315" s="21">
        <v>168.8</v>
      </c>
      <c r="P315" s="21">
        <v>173.6</v>
      </c>
      <c r="Q315" s="21">
        <v>165.5</v>
      </c>
      <c r="R315" s="21">
        <v>2164.1999999999998</v>
      </c>
      <c r="S315" s="21">
        <v>168.9</v>
      </c>
      <c r="T315" s="21">
        <v>164.8</v>
      </c>
      <c r="U315" s="21">
        <v>168.3</v>
      </c>
      <c r="V315" s="21">
        <v>502.00000000000006</v>
      </c>
      <c r="W315" s="21">
        <v>163.6</v>
      </c>
      <c r="X315" s="21">
        <v>162</v>
      </c>
      <c r="Y315" s="21">
        <v>325.60000000000002</v>
      </c>
      <c r="Z315" s="21">
        <v>172.5</v>
      </c>
      <c r="AA315" s="21">
        <v>161.1</v>
      </c>
      <c r="AB315" s="21">
        <f t="shared" si="9"/>
        <v>333.6</v>
      </c>
      <c r="AC315" s="21">
        <v>165.5</v>
      </c>
      <c r="AD315" s="21">
        <v>159.5</v>
      </c>
      <c r="AE315" s="21">
        <v>163.19999999999999</v>
      </c>
      <c r="AF315" s="21">
        <v>169</v>
      </c>
      <c r="AG315" s="21">
        <v>191.2</v>
      </c>
      <c r="AH315" s="21">
        <v>164.7</v>
      </c>
      <c r="AI315" s="21">
        <v>166.3</v>
      </c>
    </row>
    <row r="316" spans="1:35" x14ac:dyDescent="0.35">
      <c r="A316" s="21" t="s">
        <v>33</v>
      </c>
      <c r="B316" s="21">
        <v>2021</v>
      </c>
      <c r="C316" s="21" t="s">
        <v>43</v>
      </c>
      <c r="D316" s="17" t="str">
        <f t="shared" si="8"/>
        <v>October-2021</v>
      </c>
      <c r="E316" s="21">
        <v>150.1</v>
      </c>
      <c r="F316" s="21">
        <v>208.4</v>
      </c>
      <c r="G316" s="21">
        <v>173</v>
      </c>
      <c r="H316" s="21">
        <v>159.19999999999999</v>
      </c>
      <c r="I316" s="21">
        <v>176.6</v>
      </c>
      <c r="J316" s="21">
        <v>159.30000000000001</v>
      </c>
      <c r="K316" s="21">
        <v>214.4</v>
      </c>
      <c r="L316" s="21">
        <v>165.3</v>
      </c>
      <c r="M316" s="21">
        <v>122.5</v>
      </c>
      <c r="N316" s="21">
        <v>166.8</v>
      </c>
      <c r="O316" s="21">
        <v>155.4</v>
      </c>
      <c r="P316" s="21">
        <v>175.9</v>
      </c>
      <c r="Q316" s="21">
        <v>171.5</v>
      </c>
      <c r="R316" s="21">
        <v>2198.4000000000005</v>
      </c>
      <c r="S316" s="21">
        <v>160.80000000000001</v>
      </c>
      <c r="T316" s="21">
        <v>144.4</v>
      </c>
      <c r="U316" s="21">
        <v>158.30000000000001</v>
      </c>
      <c r="V316" s="21">
        <v>463.50000000000006</v>
      </c>
      <c r="W316" s="21">
        <v>163.6</v>
      </c>
      <c r="X316" s="21">
        <v>154.30000000000001</v>
      </c>
      <c r="Y316" s="21">
        <v>317.89999999999998</v>
      </c>
      <c r="Z316" s="21">
        <v>163.5</v>
      </c>
      <c r="AA316" s="21">
        <v>160.30000000000001</v>
      </c>
      <c r="AB316" s="21">
        <f t="shared" si="9"/>
        <v>323.8</v>
      </c>
      <c r="AC316" s="21">
        <v>162.19999999999999</v>
      </c>
      <c r="AD316" s="21">
        <v>152.19999999999999</v>
      </c>
      <c r="AE316" s="21">
        <v>155.1</v>
      </c>
      <c r="AF316" s="21">
        <v>160.30000000000001</v>
      </c>
      <c r="AG316" s="21">
        <v>197</v>
      </c>
      <c r="AH316" s="21">
        <v>157</v>
      </c>
      <c r="AI316" s="21">
        <v>164.6</v>
      </c>
    </row>
    <row r="317" spans="1:35" x14ac:dyDescent="0.35">
      <c r="A317" s="21" t="s">
        <v>34</v>
      </c>
      <c r="B317" s="21">
        <v>2021</v>
      </c>
      <c r="C317" s="21" t="s">
        <v>43</v>
      </c>
      <c r="D317" s="17" t="str">
        <f t="shared" si="8"/>
        <v>October-2021</v>
      </c>
      <c r="E317" s="21">
        <v>147.4</v>
      </c>
      <c r="F317" s="21">
        <v>204.6</v>
      </c>
      <c r="G317" s="21">
        <v>171.2</v>
      </c>
      <c r="H317" s="21">
        <v>158.69999999999999</v>
      </c>
      <c r="I317" s="21">
        <v>190.6</v>
      </c>
      <c r="J317" s="21">
        <v>155.69999999999999</v>
      </c>
      <c r="K317" s="21">
        <v>185.3</v>
      </c>
      <c r="L317" s="21">
        <v>165.2</v>
      </c>
      <c r="M317" s="21">
        <v>121.9</v>
      </c>
      <c r="N317" s="21">
        <v>169.3</v>
      </c>
      <c r="O317" s="21">
        <v>163.19999999999999</v>
      </c>
      <c r="P317" s="21">
        <v>174.7</v>
      </c>
      <c r="Q317" s="21">
        <v>167.7</v>
      </c>
      <c r="R317" s="21">
        <v>2175.5</v>
      </c>
      <c r="S317" s="21">
        <v>165.7</v>
      </c>
      <c r="T317" s="21">
        <v>156.30000000000001</v>
      </c>
      <c r="U317" s="21">
        <v>164.3</v>
      </c>
      <c r="V317" s="21">
        <v>486.3</v>
      </c>
      <c r="W317" s="21">
        <v>163.6</v>
      </c>
      <c r="X317" s="21">
        <v>158.4</v>
      </c>
      <c r="Y317" s="21">
        <v>322</v>
      </c>
      <c r="Z317" s="21">
        <v>169.1</v>
      </c>
      <c r="AA317" s="21">
        <v>160.80000000000001</v>
      </c>
      <c r="AB317" s="21">
        <f t="shared" si="9"/>
        <v>329.9</v>
      </c>
      <c r="AC317" s="21">
        <v>164.2</v>
      </c>
      <c r="AD317" s="21">
        <v>155.69999999999999</v>
      </c>
      <c r="AE317" s="21">
        <v>158.6</v>
      </c>
      <c r="AF317" s="21">
        <v>163.9</v>
      </c>
      <c r="AG317" s="21">
        <v>192.7</v>
      </c>
      <c r="AH317" s="21">
        <v>161</v>
      </c>
      <c r="AI317" s="21">
        <v>165.5</v>
      </c>
    </row>
    <row r="318" spans="1:35" x14ac:dyDescent="0.35">
      <c r="A318" s="21" t="s">
        <v>30</v>
      </c>
      <c r="B318" s="21">
        <v>2021</v>
      </c>
      <c r="C318" s="21" t="s">
        <v>45</v>
      </c>
      <c r="D318" s="17" t="str">
        <f t="shared" si="8"/>
        <v>November-2021</v>
      </c>
      <c r="E318" s="21">
        <v>146.9</v>
      </c>
      <c r="F318" s="21">
        <v>199.8</v>
      </c>
      <c r="G318" s="21">
        <v>171.5</v>
      </c>
      <c r="H318" s="21">
        <v>159.1</v>
      </c>
      <c r="I318" s="21">
        <v>198.4</v>
      </c>
      <c r="J318" s="21">
        <v>153.19999999999999</v>
      </c>
      <c r="K318" s="21">
        <v>183.9</v>
      </c>
      <c r="L318" s="21">
        <v>165.4</v>
      </c>
      <c r="M318" s="21">
        <v>122.1</v>
      </c>
      <c r="N318" s="21">
        <v>170.8</v>
      </c>
      <c r="O318" s="21">
        <v>169.1</v>
      </c>
      <c r="P318" s="21">
        <v>174.3</v>
      </c>
      <c r="Q318" s="21">
        <v>167.5</v>
      </c>
      <c r="R318" s="21">
        <v>2182</v>
      </c>
      <c r="S318" s="21">
        <v>170.4</v>
      </c>
      <c r="T318" s="21">
        <v>166</v>
      </c>
      <c r="U318" s="21">
        <v>169.8</v>
      </c>
      <c r="V318" s="21">
        <v>506.2</v>
      </c>
      <c r="W318" s="21">
        <v>164.2</v>
      </c>
      <c r="X318" s="21">
        <v>162.9</v>
      </c>
      <c r="Y318" s="21">
        <v>327.10000000000002</v>
      </c>
      <c r="Z318" s="21">
        <v>173.4</v>
      </c>
      <c r="AA318" s="21">
        <v>162.4</v>
      </c>
      <c r="AB318" s="21">
        <f t="shared" si="9"/>
        <v>335.8</v>
      </c>
      <c r="AC318" s="21">
        <v>165.3</v>
      </c>
      <c r="AD318" s="21">
        <v>158.9</v>
      </c>
      <c r="AE318" s="21">
        <v>163.80000000000001</v>
      </c>
      <c r="AF318" s="21">
        <v>169.3</v>
      </c>
      <c r="AG318" s="21">
        <v>191.4</v>
      </c>
      <c r="AH318" s="21">
        <v>165.2</v>
      </c>
      <c r="AI318" s="21">
        <v>167.6</v>
      </c>
    </row>
    <row r="319" spans="1:35" x14ac:dyDescent="0.35">
      <c r="A319" s="21" t="s">
        <v>33</v>
      </c>
      <c r="B319" s="21">
        <v>2021</v>
      </c>
      <c r="C319" s="21" t="s">
        <v>45</v>
      </c>
      <c r="D319" s="17" t="str">
        <f t="shared" si="8"/>
        <v>November-2021</v>
      </c>
      <c r="E319" s="21">
        <v>151</v>
      </c>
      <c r="F319" s="21">
        <v>204.9</v>
      </c>
      <c r="G319" s="21">
        <v>175.4</v>
      </c>
      <c r="H319" s="21">
        <v>159.6</v>
      </c>
      <c r="I319" s="21">
        <v>175.8</v>
      </c>
      <c r="J319" s="21">
        <v>160.30000000000001</v>
      </c>
      <c r="K319" s="21">
        <v>229.1</v>
      </c>
      <c r="L319" s="21">
        <v>165.1</v>
      </c>
      <c r="M319" s="21">
        <v>123.1</v>
      </c>
      <c r="N319" s="21">
        <v>167.2</v>
      </c>
      <c r="O319" s="21">
        <v>156.1</v>
      </c>
      <c r="P319" s="21">
        <v>176.8</v>
      </c>
      <c r="Q319" s="21">
        <v>173.5</v>
      </c>
      <c r="R319" s="21">
        <v>2217.8999999999996</v>
      </c>
      <c r="S319" s="21">
        <v>162.30000000000001</v>
      </c>
      <c r="T319" s="21">
        <v>145.30000000000001</v>
      </c>
      <c r="U319" s="21">
        <v>159.69999999999999</v>
      </c>
      <c r="V319" s="21">
        <v>467.3</v>
      </c>
      <c r="W319" s="21">
        <v>164.2</v>
      </c>
      <c r="X319" s="21">
        <v>155.19999999999999</v>
      </c>
      <c r="Y319" s="21">
        <v>319.39999999999998</v>
      </c>
      <c r="Z319" s="21">
        <v>164.2</v>
      </c>
      <c r="AA319" s="21">
        <v>161.80000000000001</v>
      </c>
      <c r="AB319" s="21">
        <f t="shared" si="9"/>
        <v>326</v>
      </c>
      <c r="AC319" s="21">
        <v>161.6</v>
      </c>
      <c r="AD319" s="21">
        <v>151.19999999999999</v>
      </c>
      <c r="AE319" s="21">
        <v>156.69999999999999</v>
      </c>
      <c r="AF319" s="21">
        <v>160.80000000000001</v>
      </c>
      <c r="AG319" s="21">
        <v>197</v>
      </c>
      <c r="AH319" s="21">
        <v>157.30000000000001</v>
      </c>
      <c r="AI319" s="21">
        <v>165.6</v>
      </c>
    </row>
    <row r="320" spans="1:35" x14ac:dyDescent="0.35">
      <c r="A320" s="21" t="s">
        <v>34</v>
      </c>
      <c r="B320" s="21">
        <v>2021</v>
      </c>
      <c r="C320" s="21" t="s">
        <v>45</v>
      </c>
      <c r="D320" s="17" t="str">
        <f t="shared" si="8"/>
        <v>November-2021</v>
      </c>
      <c r="E320" s="21">
        <v>148.19999999999999</v>
      </c>
      <c r="F320" s="21">
        <v>201.6</v>
      </c>
      <c r="G320" s="21">
        <v>173</v>
      </c>
      <c r="H320" s="21">
        <v>159.30000000000001</v>
      </c>
      <c r="I320" s="21">
        <v>190.1</v>
      </c>
      <c r="J320" s="21">
        <v>156.5</v>
      </c>
      <c r="K320" s="21">
        <v>199.2</v>
      </c>
      <c r="L320" s="21">
        <v>165.3</v>
      </c>
      <c r="M320" s="21">
        <v>122.4</v>
      </c>
      <c r="N320" s="21">
        <v>169.6</v>
      </c>
      <c r="O320" s="21">
        <v>163.69999999999999</v>
      </c>
      <c r="P320" s="21">
        <v>175.5</v>
      </c>
      <c r="Q320" s="21">
        <v>169.7</v>
      </c>
      <c r="R320" s="21">
        <v>2194.1</v>
      </c>
      <c r="S320" s="21">
        <v>167.2</v>
      </c>
      <c r="T320" s="21">
        <v>157.4</v>
      </c>
      <c r="U320" s="21">
        <v>165.8</v>
      </c>
      <c r="V320" s="21">
        <v>490.40000000000003</v>
      </c>
      <c r="W320" s="21">
        <v>164.2</v>
      </c>
      <c r="X320" s="21">
        <v>159.30000000000001</v>
      </c>
      <c r="Y320" s="21">
        <v>323.5</v>
      </c>
      <c r="Z320" s="21">
        <v>169.9</v>
      </c>
      <c r="AA320" s="21">
        <v>162.19999999999999</v>
      </c>
      <c r="AB320" s="21">
        <f t="shared" si="9"/>
        <v>332.1</v>
      </c>
      <c r="AC320" s="21">
        <v>163.9</v>
      </c>
      <c r="AD320" s="21">
        <v>154.80000000000001</v>
      </c>
      <c r="AE320" s="21">
        <v>159.80000000000001</v>
      </c>
      <c r="AF320" s="21">
        <v>164.3</v>
      </c>
      <c r="AG320" s="21">
        <v>192.9</v>
      </c>
      <c r="AH320" s="21">
        <v>161.4</v>
      </c>
      <c r="AI320" s="21">
        <v>166.7</v>
      </c>
    </row>
    <row r="321" spans="1:35" x14ac:dyDescent="0.35">
      <c r="A321" s="21" t="s">
        <v>30</v>
      </c>
      <c r="B321" s="21">
        <v>2021</v>
      </c>
      <c r="C321" s="21" t="s">
        <v>46</v>
      </c>
      <c r="D321" s="17" t="str">
        <f t="shared" si="8"/>
        <v>December-2021</v>
      </c>
      <c r="E321" s="21">
        <v>147.4</v>
      </c>
      <c r="F321" s="21">
        <v>197</v>
      </c>
      <c r="G321" s="21">
        <v>176.5</v>
      </c>
      <c r="H321" s="21">
        <v>159.80000000000001</v>
      </c>
      <c r="I321" s="21">
        <v>195.8</v>
      </c>
      <c r="J321" s="21">
        <v>152</v>
      </c>
      <c r="K321" s="21">
        <v>172.3</v>
      </c>
      <c r="L321" s="21">
        <v>164.5</v>
      </c>
      <c r="M321" s="21">
        <v>120.6</v>
      </c>
      <c r="N321" s="21">
        <v>171.7</v>
      </c>
      <c r="O321" s="21">
        <v>169.7</v>
      </c>
      <c r="P321" s="21">
        <v>175.1</v>
      </c>
      <c r="Q321" s="21">
        <v>165.8</v>
      </c>
      <c r="R321" s="21">
        <v>2168.1999999999998</v>
      </c>
      <c r="S321" s="21">
        <v>171.8</v>
      </c>
      <c r="T321" s="21">
        <v>167.3</v>
      </c>
      <c r="U321" s="21">
        <v>171.2</v>
      </c>
      <c r="V321" s="21">
        <v>510.3</v>
      </c>
      <c r="W321" s="21">
        <v>163.4</v>
      </c>
      <c r="X321" s="21">
        <v>163.9</v>
      </c>
      <c r="Y321" s="21">
        <v>327.3</v>
      </c>
      <c r="Z321" s="21">
        <v>174</v>
      </c>
      <c r="AA321" s="21">
        <v>162.80000000000001</v>
      </c>
      <c r="AB321" s="21">
        <f t="shared" si="9"/>
        <v>336.8</v>
      </c>
      <c r="AC321" s="21">
        <v>165.6</v>
      </c>
      <c r="AD321" s="21">
        <v>160.1</v>
      </c>
      <c r="AE321" s="21">
        <v>164.5</v>
      </c>
      <c r="AF321" s="21">
        <v>169.7</v>
      </c>
      <c r="AG321" s="21">
        <v>190.8</v>
      </c>
      <c r="AH321" s="21">
        <v>166</v>
      </c>
      <c r="AI321" s="21">
        <v>167</v>
      </c>
    </row>
    <row r="322" spans="1:35" x14ac:dyDescent="0.35">
      <c r="A322" s="21" t="s">
        <v>33</v>
      </c>
      <c r="B322" s="21">
        <v>2021</v>
      </c>
      <c r="C322" s="21" t="s">
        <v>46</v>
      </c>
      <c r="D322" s="17" t="str">
        <f t="shared" si="8"/>
        <v>December-2021</v>
      </c>
      <c r="E322" s="21">
        <v>151.6</v>
      </c>
      <c r="F322" s="21">
        <v>202.2</v>
      </c>
      <c r="G322" s="21">
        <v>180</v>
      </c>
      <c r="H322" s="21">
        <v>160</v>
      </c>
      <c r="I322" s="21">
        <v>173.5</v>
      </c>
      <c r="J322" s="21">
        <v>158.30000000000001</v>
      </c>
      <c r="K322" s="21">
        <v>219.5</v>
      </c>
      <c r="L322" s="21">
        <v>164.2</v>
      </c>
      <c r="M322" s="21">
        <v>121.9</v>
      </c>
      <c r="N322" s="21">
        <v>168.2</v>
      </c>
      <c r="O322" s="21">
        <v>156.5</v>
      </c>
      <c r="P322" s="21">
        <v>178.2</v>
      </c>
      <c r="Q322" s="21">
        <v>172.2</v>
      </c>
      <c r="R322" s="21">
        <v>2206.3000000000002</v>
      </c>
      <c r="S322" s="21">
        <v>163.30000000000001</v>
      </c>
      <c r="T322" s="21">
        <v>146.69999999999999</v>
      </c>
      <c r="U322" s="21">
        <v>160.69999999999999</v>
      </c>
      <c r="V322" s="21">
        <v>470.7</v>
      </c>
      <c r="W322" s="21">
        <v>163.4</v>
      </c>
      <c r="X322" s="21">
        <v>156</v>
      </c>
      <c r="Y322" s="21">
        <v>319.39999999999998</v>
      </c>
      <c r="Z322" s="21">
        <v>165.1</v>
      </c>
      <c r="AA322" s="21">
        <v>162.4</v>
      </c>
      <c r="AB322" s="21">
        <f t="shared" si="9"/>
        <v>327.5</v>
      </c>
      <c r="AC322" s="21">
        <v>161.69999999999999</v>
      </c>
      <c r="AD322" s="21">
        <v>151.80000000000001</v>
      </c>
      <c r="AE322" s="21">
        <v>157.6</v>
      </c>
      <c r="AF322" s="21">
        <v>160.6</v>
      </c>
      <c r="AG322" s="21">
        <v>196.8</v>
      </c>
      <c r="AH322" s="21">
        <v>157.80000000000001</v>
      </c>
      <c r="AI322" s="21">
        <v>165.2</v>
      </c>
    </row>
    <row r="323" spans="1:35" x14ac:dyDescent="0.35">
      <c r="A323" s="21" t="s">
        <v>34</v>
      </c>
      <c r="B323" s="21">
        <v>2021</v>
      </c>
      <c r="C323" s="21" t="s">
        <v>46</v>
      </c>
      <c r="D323" s="17" t="str">
        <f t="shared" si="8"/>
        <v>December-2021</v>
      </c>
      <c r="E323" s="21">
        <v>148.69999999999999</v>
      </c>
      <c r="F323" s="21">
        <v>198.8</v>
      </c>
      <c r="G323" s="21">
        <v>177.9</v>
      </c>
      <c r="H323" s="21">
        <v>159.9</v>
      </c>
      <c r="I323" s="21">
        <v>187.6</v>
      </c>
      <c r="J323" s="21">
        <v>154.9</v>
      </c>
      <c r="K323" s="21">
        <v>188.3</v>
      </c>
      <c r="L323" s="21">
        <v>164.4</v>
      </c>
      <c r="M323" s="21">
        <v>121</v>
      </c>
      <c r="N323" s="21">
        <v>170.5</v>
      </c>
      <c r="O323" s="21">
        <v>164.2</v>
      </c>
      <c r="P323" s="21">
        <v>176.5</v>
      </c>
      <c r="Q323" s="21">
        <v>168.2</v>
      </c>
      <c r="R323" s="21">
        <v>2180.9</v>
      </c>
      <c r="S323" s="21">
        <v>168.5</v>
      </c>
      <c r="T323" s="21">
        <v>158.69999999999999</v>
      </c>
      <c r="U323" s="21">
        <v>167</v>
      </c>
      <c r="V323" s="21">
        <v>494.2</v>
      </c>
      <c r="W323" s="21">
        <v>163.4</v>
      </c>
      <c r="X323" s="21">
        <v>160.19999999999999</v>
      </c>
      <c r="Y323" s="21">
        <v>323.60000000000002</v>
      </c>
      <c r="Z323" s="21">
        <v>170.6</v>
      </c>
      <c r="AA323" s="21">
        <v>162.6</v>
      </c>
      <c r="AB323" s="21">
        <f t="shared" si="9"/>
        <v>333.2</v>
      </c>
      <c r="AC323" s="21">
        <v>164.1</v>
      </c>
      <c r="AD323" s="21">
        <v>155.69999999999999</v>
      </c>
      <c r="AE323" s="21">
        <v>160.6</v>
      </c>
      <c r="AF323" s="21">
        <v>164.4</v>
      </c>
      <c r="AG323" s="21">
        <v>192.4</v>
      </c>
      <c r="AH323" s="21">
        <v>162</v>
      </c>
      <c r="AI323" s="21">
        <v>166.2</v>
      </c>
    </row>
    <row r="324" spans="1:35" x14ac:dyDescent="0.35">
      <c r="A324" s="21" t="s">
        <v>30</v>
      </c>
      <c r="B324" s="21">
        <v>2022</v>
      </c>
      <c r="C324" s="21" t="s">
        <v>31</v>
      </c>
      <c r="D324" s="17" t="str">
        <f t="shared" ref="D324:D374" si="10">CONCATENATE(C324,"-",B324)</f>
        <v>January-2022</v>
      </c>
      <c r="E324" s="21">
        <v>148.30000000000001</v>
      </c>
      <c r="F324" s="21">
        <v>196.9</v>
      </c>
      <c r="G324" s="21">
        <v>178</v>
      </c>
      <c r="H324" s="21">
        <v>160.5</v>
      </c>
      <c r="I324" s="21">
        <v>192.6</v>
      </c>
      <c r="J324" s="21">
        <v>151.19999999999999</v>
      </c>
      <c r="K324" s="21">
        <v>159.19999999999999</v>
      </c>
      <c r="L324" s="21">
        <v>164</v>
      </c>
      <c r="M324" s="21">
        <v>119.3</v>
      </c>
      <c r="N324" s="21">
        <v>173.3</v>
      </c>
      <c r="O324" s="21">
        <v>169.8</v>
      </c>
      <c r="P324" s="21">
        <v>175.8</v>
      </c>
      <c r="Q324" s="21">
        <v>164.1</v>
      </c>
      <c r="R324" s="21">
        <v>2153</v>
      </c>
      <c r="S324" s="21">
        <v>173.2</v>
      </c>
      <c r="T324" s="21">
        <v>169.3</v>
      </c>
      <c r="U324" s="21">
        <v>172.7</v>
      </c>
      <c r="V324" s="21">
        <v>515.20000000000005</v>
      </c>
      <c r="W324" s="21">
        <v>164.5</v>
      </c>
      <c r="X324" s="21">
        <v>164.9</v>
      </c>
      <c r="Y324" s="21">
        <v>329.4</v>
      </c>
      <c r="Z324" s="21">
        <v>174.7</v>
      </c>
      <c r="AA324" s="21">
        <v>163.19999999999999</v>
      </c>
      <c r="AB324" s="21">
        <f t="shared" ref="AB324:AB374" si="11">SUM(Z324:AA324)</f>
        <v>337.9</v>
      </c>
      <c r="AC324" s="21">
        <v>165.8</v>
      </c>
      <c r="AD324" s="21">
        <v>160.80000000000001</v>
      </c>
      <c r="AE324" s="21">
        <v>164.9</v>
      </c>
      <c r="AF324" s="21">
        <v>169.9</v>
      </c>
      <c r="AG324" s="21">
        <v>190.7</v>
      </c>
      <c r="AH324" s="21">
        <v>166.6</v>
      </c>
      <c r="AI324" s="21">
        <v>166.4</v>
      </c>
    </row>
    <row r="325" spans="1:35" x14ac:dyDescent="0.35">
      <c r="A325" s="21" t="s">
        <v>33</v>
      </c>
      <c r="B325" s="21">
        <v>2022</v>
      </c>
      <c r="C325" s="21" t="s">
        <v>31</v>
      </c>
      <c r="D325" s="17" t="str">
        <f t="shared" si="10"/>
        <v>January-2022</v>
      </c>
      <c r="E325" s="21">
        <v>152.19999999999999</v>
      </c>
      <c r="F325" s="21">
        <v>202.1</v>
      </c>
      <c r="G325" s="21">
        <v>180.1</v>
      </c>
      <c r="H325" s="21">
        <v>160.4</v>
      </c>
      <c r="I325" s="21">
        <v>171</v>
      </c>
      <c r="J325" s="21">
        <v>156.5</v>
      </c>
      <c r="K325" s="21">
        <v>203.6</v>
      </c>
      <c r="L325" s="21">
        <v>163.80000000000001</v>
      </c>
      <c r="M325" s="21">
        <v>121.3</v>
      </c>
      <c r="N325" s="21">
        <v>169.8</v>
      </c>
      <c r="O325" s="21">
        <v>156.6</v>
      </c>
      <c r="P325" s="21">
        <v>179</v>
      </c>
      <c r="Q325" s="21">
        <v>170.3</v>
      </c>
      <c r="R325" s="21">
        <v>2186.6999999999998</v>
      </c>
      <c r="S325" s="21">
        <v>164.7</v>
      </c>
      <c r="T325" s="21">
        <v>148.5</v>
      </c>
      <c r="U325" s="21">
        <v>162.19999999999999</v>
      </c>
      <c r="V325" s="21">
        <v>475.4</v>
      </c>
      <c r="W325" s="21">
        <v>164.5</v>
      </c>
      <c r="X325" s="21">
        <v>156.80000000000001</v>
      </c>
      <c r="Y325" s="21">
        <v>321.3</v>
      </c>
      <c r="Z325" s="21">
        <v>166.1</v>
      </c>
      <c r="AA325" s="21">
        <v>162.80000000000001</v>
      </c>
      <c r="AB325" s="21">
        <f t="shared" si="11"/>
        <v>328.9</v>
      </c>
      <c r="AC325" s="21">
        <v>161.6</v>
      </c>
      <c r="AD325" s="21">
        <v>152.69999999999999</v>
      </c>
      <c r="AE325" s="21">
        <v>158.4</v>
      </c>
      <c r="AF325" s="21">
        <v>161</v>
      </c>
      <c r="AG325" s="21">
        <v>196.4</v>
      </c>
      <c r="AH325" s="21">
        <v>158.6</v>
      </c>
      <c r="AI325" s="21">
        <v>165</v>
      </c>
    </row>
    <row r="326" spans="1:35" x14ac:dyDescent="0.35">
      <c r="A326" s="21" t="s">
        <v>34</v>
      </c>
      <c r="B326" s="21">
        <v>2022</v>
      </c>
      <c r="C326" s="21" t="s">
        <v>31</v>
      </c>
      <c r="D326" s="17" t="str">
        <f t="shared" si="10"/>
        <v>January-2022</v>
      </c>
      <c r="E326" s="21">
        <v>149.5</v>
      </c>
      <c r="F326" s="21">
        <v>198.7</v>
      </c>
      <c r="G326" s="21">
        <v>178.8</v>
      </c>
      <c r="H326" s="21">
        <v>160.5</v>
      </c>
      <c r="I326" s="21">
        <v>184.7</v>
      </c>
      <c r="J326" s="21">
        <v>153.69999999999999</v>
      </c>
      <c r="K326" s="21">
        <v>174.3</v>
      </c>
      <c r="L326" s="21">
        <v>163.9</v>
      </c>
      <c r="M326" s="21">
        <v>120</v>
      </c>
      <c r="N326" s="21">
        <v>172.1</v>
      </c>
      <c r="O326" s="21">
        <v>164.3</v>
      </c>
      <c r="P326" s="21">
        <v>177.3</v>
      </c>
      <c r="Q326" s="21">
        <v>166.4</v>
      </c>
      <c r="R326" s="21">
        <v>2164.1999999999998</v>
      </c>
      <c r="S326" s="21">
        <v>169.9</v>
      </c>
      <c r="T326" s="21">
        <v>160.69999999999999</v>
      </c>
      <c r="U326" s="21">
        <v>168.5</v>
      </c>
      <c r="V326" s="21">
        <v>499.1</v>
      </c>
      <c r="W326" s="21">
        <v>164.5</v>
      </c>
      <c r="X326" s="21">
        <v>161.1</v>
      </c>
      <c r="Y326" s="21">
        <v>325.60000000000002</v>
      </c>
      <c r="Z326" s="21">
        <v>171.4</v>
      </c>
      <c r="AA326" s="21">
        <v>163</v>
      </c>
      <c r="AB326" s="21">
        <f t="shared" si="11"/>
        <v>334.4</v>
      </c>
      <c r="AC326" s="21">
        <v>164.2</v>
      </c>
      <c r="AD326" s="21">
        <v>156.5</v>
      </c>
      <c r="AE326" s="21">
        <v>161.19999999999999</v>
      </c>
      <c r="AF326" s="21">
        <v>164.7</v>
      </c>
      <c r="AG326" s="21">
        <v>192.2</v>
      </c>
      <c r="AH326" s="21">
        <v>162.69999999999999</v>
      </c>
      <c r="AI326" s="21">
        <v>165.7</v>
      </c>
    </row>
    <row r="327" spans="1:35" x14ac:dyDescent="0.35">
      <c r="A327" s="21" t="s">
        <v>30</v>
      </c>
      <c r="B327" s="21">
        <v>2022</v>
      </c>
      <c r="C327" s="21" t="s">
        <v>35</v>
      </c>
      <c r="D327" s="17" t="str">
        <f t="shared" si="10"/>
        <v>February-2022</v>
      </c>
      <c r="E327" s="21">
        <v>148.80000000000001</v>
      </c>
      <c r="F327" s="21">
        <v>198.1</v>
      </c>
      <c r="G327" s="21">
        <v>175.5</v>
      </c>
      <c r="H327" s="21">
        <v>160.69999999999999</v>
      </c>
      <c r="I327" s="21">
        <v>192.6</v>
      </c>
      <c r="J327" s="21">
        <v>151.4</v>
      </c>
      <c r="K327" s="21">
        <v>155.19999999999999</v>
      </c>
      <c r="L327" s="21">
        <v>163.9</v>
      </c>
      <c r="M327" s="21">
        <v>118.1</v>
      </c>
      <c r="N327" s="21">
        <v>175.4</v>
      </c>
      <c r="O327" s="21">
        <v>170.5</v>
      </c>
      <c r="P327" s="21">
        <v>176.3</v>
      </c>
      <c r="Q327" s="21">
        <v>163.9</v>
      </c>
      <c r="R327" s="21">
        <v>2150.4</v>
      </c>
      <c r="S327" s="21">
        <v>174.1</v>
      </c>
      <c r="T327" s="21">
        <v>171</v>
      </c>
      <c r="U327" s="21">
        <v>173.7</v>
      </c>
      <c r="V327" s="21">
        <v>518.79999999999995</v>
      </c>
      <c r="W327" s="21">
        <v>165.5</v>
      </c>
      <c r="X327" s="21">
        <v>165.7</v>
      </c>
      <c r="Y327" s="21">
        <v>331.2</v>
      </c>
      <c r="Z327" s="21">
        <v>175.3</v>
      </c>
      <c r="AA327" s="21">
        <v>164.5</v>
      </c>
      <c r="AB327" s="21">
        <f t="shared" si="11"/>
        <v>339.8</v>
      </c>
      <c r="AC327" s="21">
        <v>167.4</v>
      </c>
      <c r="AD327" s="21">
        <v>161.19999999999999</v>
      </c>
      <c r="AE327" s="21">
        <v>165.5</v>
      </c>
      <c r="AF327" s="21">
        <v>170.3</v>
      </c>
      <c r="AG327" s="21">
        <v>191.5</v>
      </c>
      <c r="AH327" s="21">
        <v>167.3</v>
      </c>
      <c r="AI327" s="21">
        <v>166.7</v>
      </c>
    </row>
    <row r="328" spans="1:35" x14ac:dyDescent="0.35">
      <c r="A328" s="21" t="s">
        <v>33</v>
      </c>
      <c r="B328" s="21">
        <v>2022</v>
      </c>
      <c r="C328" s="21" t="s">
        <v>35</v>
      </c>
      <c r="D328" s="17" t="str">
        <f t="shared" si="10"/>
        <v>February-2022</v>
      </c>
      <c r="E328" s="21">
        <v>152.5</v>
      </c>
      <c r="F328" s="21">
        <v>205.2</v>
      </c>
      <c r="G328" s="21">
        <v>176.4</v>
      </c>
      <c r="H328" s="21">
        <v>160.6</v>
      </c>
      <c r="I328" s="21">
        <v>171.5</v>
      </c>
      <c r="J328" s="21">
        <v>156.4</v>
      </c>
      <c r="K328" s="21">
        <v>198</v>
      </c>
      <c r="L328" s="21">
        <v>163.19999999999999</v>
      </c>
      <c r="M328" s="21">
        <v>120.6</v>
      </c>
      <c r="N328" s="21">
        <v>172.2</v>
      </c>
      <c r="O328" s="21">
        <v>156.69999999999999</v>
      </c>
      <c r="P328" s="21">
        <v>180</v>
      </c>
      <c r="Q328" s="21">
        <v>170.2</v>
      </c>
      <c r="R328" s="21">
        <v>2183.5</v>
      </c>
      <c r="S328" s="21">
        <v>165.7</v>
      </c>
      <c r="T328" s="21">
        <v>150.4</v>
      </c>
      <c r="U328" s="21">
        <v>163.4</v>
      </c>
      <c r="V328" s="21">
        <v>479.5</v>
      </c>
      <c r="W328" s="21">
        <v>165.5</v>
      </c>
      <c r="X328" s="21">
        <v>157.4</v>
      </c>
      <c r="Y328" s="21">
        <v>322.89999999999998</v>
      </c>
      <c r="Z328" s="21">
        <v>167.2</v>
      </c>
      <c r="AA328" s="21">
        <v>164.2</v>
      </c>
      <c r="AB328" s="21">
        <f t="shared" si="11"/>
        <v>331.4</v>
      </c>
      <c r="AC328" s="21">
        <v>163</v>
      </c>
      <c r="AD328" s="21">
        <v>153.1</v>
      </c>
      <c r="AE328" s="21">
        <v>159.5</v>
      </c>
      <c r="AF328" s="21">
        <v>162</v>
      </c>
      <c r="AG328" s="21">
        <v>196.5</v>
      </c>
      <c r="AH328" s="21">
        <v>159.4</v>
      </c>
      <c r="AI328" s="21">
        <v>165.5</v>
      </c>
    </row>
    <row r="329" spans="1:35" x14ac:dyDescent="0.35">
      <c r="A329" s="21" t="s">
        <v>34</v>
      </c>
      <c r="B329" s="21">
        <v>2022</v>
      </c>
      <c r="C329" s="21" t="s">
        <v>35</v>
      </c>
      <c r="D329" s="17" t="str">
        <f t="shared" si="10"/>
        <v>February-2022</v>
      </c>
      <c r="E329" s="21">
        <v>150</v>
      </c>
      <c r="F329" s="21">
        <v>200.6</v>
      </c>
      <c r="G329" s="21">
        <v>175.8</v>
      </c>
      <c r="H329" s="21">
        <v>160.69999999999999</v>
      </c>
      <c r="I329" s="21">
        <v>184.9</v>
      </c>
      <c r="J329" s="21">
        <v>153.69999999999999</v>
      </c>
      <c r="K329" s="21">
        <v>169.7</v>
      </c>
      <c r="L329" s="21">
        <v>163.69999999999999</v>
      </c>
      <c r="M329" s="21">
        <v>118.9</v>
      </c>
      <c r="N329" s="21">
        <v>174.3</v>
      </c>
      <c r="O329" s="21">
        <v>164.7</v>
      </c>
      <c r="P329" s="21">
        <v>178</v>
      </c>
      <c r="Q329" s="21">
        <v>166.2</v>
      </c>
      <c r="R329" s="21">
        <v>2161.2000000000003</v>
      </c>
      <c r="S329" s="21">
        <v>170.8</v>
      </c>
      <c r="T329" s="21">
        <v>162.4</v>
      </c>
      <c r="U329" s="21">
        <v>169.6</v>
      </c>
      <c r="V329" s="21">
        <v>502.80000000000007</v>
      </c>
      <c r="W329" s="21">
        <v>165.5</v>
      </c>
      <c r="X329" s="21">
        <v>161.80000000000001</v>
      </c>
      <c r="Y329" s="21">
        <v>327.3</v>
      </c>
      <c r="Z329" s="21">
        <v>172.2</v>
      </c>
      <c r="AA329" s="21">
        <v>164.4</v>
      </c>
      <c r="AB329" s="21">
        <f t="shared" si="11"/>
        <v>336.6</v>
      </c>
      <c r="AC329" s="21">
        <v>165.7</v>
      </c>
      <c r="AD329" s="21">
        <v>156.9</v>
      </c>
      <c r="AE329" s="21">
        <v>162.1</v>
      </c>
      <c r="AF329" s="21">
        <v>165.4</v>
      </c>
      <c r="AG329" s="21">
        <v>192.8</v>
      </c>
      <c r="AH329" s="21">
        <v>163.5</v>
      </c>
      <c r="AI329" s="21">
        <v>166.1</v>
      </c>
    </row>
    <row r="330" spans="1:35" x14ac:dyDescent="0.35">
      <c r="A330" s="21" t="s">
        <v>30</v>
      </c>
      <c r="B330" s="21">
        <v>2022</v>
      </c>
      <c r="C330" s="21" t="s">
        <v>36</v>
      </c>
      <c r="D330" s="17" t="str">
        <f t="shared" si="10"/>
        <v>March-2022</v>
      </c>
      <c r="E330" s="21">
        <v>150.19999999999999</v>
      </c>
      <c r="F330" s="21">
        <v>208</v>
      </c>
      <c r="G330" s="21">
        <v>167.9</v>
      </c>
      <c r="H330" s="21">
        <v>162</v>
      </c>
      <c r="I330" s="21">
        <v>203.1</v>
      </c>
      <c r="J330" s="21">
        <v>155.9</v>
      </c>
      <c r="K330" s="21">
        <v>155.80000000000001</v>
      </c>
      <c r="L330" s="21">
        <v>164.2</v>
      </c>
      <c r="M330" s="21">
        <v>118.1</v>
      </c>
      <c r="N330" s="21">
        <v>178.7</v>
      </c>
      <c r="O330" s="21">
        <v>171.2</v>
      </c>
      <c r="P330" s="21">
        <v>177.4</v>
      </c>
      <c r="Q330" s="21">
        <v>166.6</v>
      </c>
      <c r="R330" s="21">
        <v>2179.1000000000004</v>
      </c>
      <c r="S330" s="21">
        <v>175.4</v>
      </c>
      <c r="T330" s="21">
        <v>173.2</v>
      </c>
      <c r="U330" s="21">
        <v>175.1</v>
      </c>
      <c r="V330" s="21">
        <v>523.70000000000005</v>
      </c>
      <c r="W330" s="21">
        <v>165.3</v>
      </c>
      <c r="X330" s="21">
        <v>166.5</v>
      </c>
      <c r="Y330" s="21">
        <v>331.8</v>
      </c>
      <c r="Z330" s="21">
        <v>176</v>
      </c>
      <c r="AA330" s="21">
        <v>167.4</v>
      </c>
      <c r="AB330" s="21">
        <f t="shared" si="11"/>
        <v>343.4</v>
      </c>
      <c r="AC330" s="21">
        <v>168.9</v>
      </c>
      <c r="AD330" s="21">
        <v>162</v>
      </c>
      <c r="AE330" s="21">
        <v>166.6</v>
      </c>
      <c r="AF330" s="21">
        <v>170.6</v>
      </c>
      <c r="AG330" s="21">
        <v>192.3</v>
      </c>
      <c r="AH330" s="21">
        <v>168.3</v>
      </c>
      <c r="AI330" s="21">
        <v>168.7</v>
      </c>
    </row>
    <row r="331" spans="1:35" x14ac:dyDescent="0.35">
      <c r="A331" s="21" t="s">
        <v>33</v>
      </c>
      <c r="B331" s="21">
        <v>2022</v>
      </c>
      <c r="C331" s="21" t="s">
        <v>36</v>
      </c>
      <c r="D331" s="17" t="str">
        <f t="shared" si="10"/>
        <v>March-2022</v>
      </c>
      <c r="E331" s="21">
        <v>153.69999999999999</v>
      </c>
      <c r="F331" s="21">
        <v>215.8</v>
      </c>
      <c r="G331" s="21">
        <v>167.7</v>
      </c>
      <c r="H331" s="21">
        <v>162.6</v>
      </c>
      <c r="I331" s="21">
        <v>180</v>
      </c>
      <c r="J331" s="21">
        <v>159.6</v>
      </c>
      <c r="K331" s="21">
        <v>188.4</v>
      </c>
      <c r="L331" s="21">
        <v>163.4</v>
      </c>
      <c r="M331" s="21">
        <v>120.3</v>
      </c>
      <c r="N331" s="21">
        <v>174.7</v>
      </c>
      <c r="O331" s="21">
        <v>157.1</v>
      </c>
      <c r="P331" s="21">
        <v>181.5</v>
      </c>
      <c r="Q331" s="21">
        <v>171.5</v>
      </c>
      <c r="R331" s="21">
        <v>2196.3000000000002</v>
      </c>
      <c r="S331" s="21">
        <v>167.1</v>
      </c>
      <c r="T331" s="21">
        <v>152.6</v>
      </c>
      <c r="U331" s="21">
        <v>164.9</v>
      </c>
      <c r="V331" s="21">
        <v>484.6</v>
      </c>
      <c r="W331" s="21">
        <v>165.3</v>
      </c>
      <c r="X331" s="21">
        <v>158.6</v>
      </c>
      <c r="Y331" s="21">
        <v>323.89999999999998</v>
      </c>
      <c r="Z331" s="21">
        <v>168.2</v>
      </c>
      <c r="AA331" s="21">
        <v>166.8</v>
      </c>
      <c r="AB331" s="21">
        <f t="shared" si="11"/>
        <v>335</v>
      </c>
      <c r="AC331" s="21">
        <v>164.5</v>
      </c>
      <c r="AD331" s="21">
        <v>154.19999999999999</v>
      </c>
      <c r="AE331" s="21">
        <v>160.80000000000001</v>
      </c>
      <c r="AF331" s="21">
        <v>162.69999999999999</v>
      </c>
      <c r="AG331" s="21">
        <v>197.5</v>
      </c>
      <c r="AH331" s="21">
        <v>160.6</v>
      </c>
      <c r="AI331" s="21">
        <v>166.5</v>
      </c>
    </row>
    <row r="332" spans="1:35" x14ac:dyDescent="0.35">
      <c r="A332" s="21" t="s">
        <v>34</v>
      </c>
      <c r="B332" s="21">
        <v>2022</v>
      </c>
      <c r="C332" s="21" t="s">
        <v>36</v>
      </c>
      <c r="D332" s="17" t="str">
        <f t="shared" si="10"/>
        <v>March-2022</v>
      </c>
      <c r="E332" s="21">
        <v>151.30000000000001</v>
      </c>
      <c r="F332" s="21">
        <v>210.7</v>
      </c>
      <c r="G332" s="21">
        <v>167.8</v>
      </c>
      <c r="H332" s="21">
        <v>162.19999999999999</v>
      </c>
      <c r="I332" s="21">
        <v>194.6</v>
      </c>
      <c r="J332" s="21">
        <v>157.6</v>
      </c>
      <c r="K332" s="21">
        <v>166.9</v>
      </c>
      <c r="L332" s="21">
        <v>163.9</v>
      </c>
      <c r="M332" s="21">
        <v>118.8</v>
      </c>
      <c r="N332" s="21">
        <v>177.4</v>
      </c>
      <c r="O332" s="21">
        <v>165.3</v>
      </c>
      <c r="P332" s="21">
        <v>179.3</v>
      </c>
      <c r="Q332" s="21">
        <v>168.4</v>
      </c>
      <c r="R332" s="21">
        <v>2184.2000000000003</v>
      </c>
      <c r="S332" s="21">
        <v>172.1</v>
      </c>
      <c r="T332" s="21">
        <v>164.6</v>
      </c>
      <c r="U332" s="21">
        <v>171.1</v>
      </c>
      <c r="V332" s="21">
        <v>507.79999999999995</v>
      </c>
      <c r="W332" s="21">
        <v>165.3</v>
      </c>
      <c r="X332" s="21">
        <v>162.80000000000001</v>
      </c>
      <c r="Y332" s="21">
        <v>328.1</v>
      </c>
      <c r="Z332" s="21">
        <v>173</v>
      </c>
      <c r="AA332" s="21">
        <v>167.2</v>
      </c>
      <c r="AB332" s="21">
        <f t="shared" si="11"/>
        <v>340.2</v>
      </c>
      <c r="AC332" s="21">
        <v>167.2</v>
      </c>
      <c r="AD332" s="21">
        <v>157.9</v>
      </c>
      <c r="AE332" s="21">
        <v>163.30000000000001</v>
      </c>
      <c r="AF332" s="21">
        <v>166</v>
      </c>
      <c r="AG332" s="21">
        <v>193.7</v>
      </c>
      <c r="AH332" s="21">
        <v>164.6</v>
      </c>
      <c r="AI332" s="21">
        <v>167.7</v>
      </c>
    </row>
    <row r="333" spans="1:35" x14ac:dyDescent="0.35">
      <c r="A333" s="21" t="s">
        <v>30</v>
      </c>
      <c r="B333" s="21">
        <v>2022</v>
      </c>
      <c r="C333" s="21" t="s">
        <v>37</v>
      </c>
      <c r="D333" s="17" t="str">
        <f t="shared" si="10"/>
        <v>April-2022</v>
      </c>
      <c r="E333" s="21">
        <v>151.80000000000001</v>
      </c>
      <c r="F333" s="21">
        <v>209.7</v>
      </c>
      <c r="G333" s="21">
        <v>164.5</v>
      </c>
      <c r="H333" s="21">
        <v>163.80000000000001</v>
      </c>
      <c r="I333" s="21">
        <v>207.4</v>
      </c>
      <c r="J333" s="21">
        <v>169.7</v>
      </c>
      <c r="K333" s="21">
        <v>153.6</v>
      </c>
      <c r="L333" s="21">
        <v>165.1</v>
      </c>
      <c r="M333" s="21">
        <v>118.2</v>
      </c>
      <c r="N333" s="21">
        <v>182.9</v>
      </c>
      <c r="O333" s="21">
        <v>172.4</v>
      </c>
      <c r="P333" s="21">
        <v>178.9</v>
      </c>
      <c r="Q333" s="21">
        <v>168.6</v>
      </c>
      <c r="R333" s="21">
        <v>2206.6</v>
      </c>
      <c r="S333" s="21">
        <v>177.5</v>
      </c>
      <c r="T333" s="21">
        <v>175.1</v>
      </c>
      <c r="U333" s="21">
        <v>177.1</v>
      </c>
      <c r="V333" s="21">
        <v>529.70000000000005</v>
      </c>
      <c r="W333" s="21">
        <v>167</v>
      </c>
      <c r="X333" s="21">
        <v>167.7</v>
      </c>
      <c r="Y333" s="21">
        <v>334.7</v>
      </c>
      <c r="Z333" s="21">
        <v>177</v>
      </c>
      <c r="AA333" s="21">
        <v>169</v>
      </c>
      <c r="AB333" s="21">
        <f t="shared" si="11"/>
        <v>346</v>
      </c>
      <c r="AC333" s="21">
        <v>173.3</v>
      </c>
      <c r="AD333" s="21">
        <v>166.2</v>
      </c>
      <c r="AE333" s="21">
        <v>167.2</v>
      </c>
      <c r="AF333" s="21">
        <v>170.9</v>
      </c>
      <c r="AG333" s="21">
        <v>192.8</v>
      </c>
      <c r="AH333" s="21">
        <v>170.2</v>
      </c>
      <c r="AI333" s="21">
        <v>170.8</v>
      </c>
    </row>
    <row r="334" spans="1:35" x14ac:dyDescent="0.35">
      <c r="A334" s="21" t="s">
        <v>33</v>
      </c>
      <c r="B334" s="21">
        <v>2022</v>
      </c>
      <c r="C334" s="21" t="s">
        <v>37</v>
      </c>
      <c r="D334" s="17" t="str">
        <f t="shared" si="10"/>
        <v>April-2022</v>
      </c>
      <c r="E334" s="21">
        <v>155.4</v>
      </c>
      <c r="F334" s="21">
        <v>215.8</v>
      </c>
      <c r="G334" s="21">
        <v>164.6</v>
      </c>
      <c r="H334" s="21">
        <v>164.2</v>
      </c>
      <c r="I334" s="21">
        <v>186</v>
      </c>
      <c r="J334" s="21">
        <v>175.9</v>
      </c>
      <c r="K334" s="21">
        <v>190.7</v>
      </c>
      <c r="L334" s="21">
        <v>164</v>
      </c>
      <c r="M334" s="21">
        <v>120.5</v>
      </c>
      <c r="N334" s="21">
        <v>178</v>
      </c>
      <c r="O334" s="21">
        <v>157.5</v>
      </c>
      <c r="P334" s="21">
        <v>183.3</v>
      </c>
      <c r="Q334" s="21">
        <v>174.5</v>
      </c>
      <c r="R334" s="21">
        <v>2230.4</v>
      </c>
      <c r="S334" s="21">
        <v>168.4</v>
      </c>
      <c r="T334" s="21">
        <v>154.5</v>
      </c>
      <c r="U334" s="21">
        <v>166.3</v>
      </c>
      <c r="V334" s="21">
        <v>489.2</v>
      </c>
      <c r="W334" s="21">
        <v>167</v>
      </c>
      <c r="X334" s="21">
        <v>159.80000000000001</v>
      </c>
      <c r="Y334" s="21">
        <v>326.8</v>
      </c>
      <c r="Z334" s="21">
        <v>169</v>
      </c>
      <c r="AA334" s="21">
        <v>168.4</v>
      </c>
      <c r="AB334" s="21">
        <f t="shared" si="11"/>
        <v>337.4</v>
      </c>
      <c r="AC334" s="21">
        <v>170.5</v>
      </c>
      <c r="AD334" s="21">
        <v>159.30000000000001</v>
      </c>
      <c r="AE334" s="21">
        <v>162.19999999999999</v>
      </c>
      <c r="AF334" s="21">
        <v>164</v>
      </c>
      <c r="AG334" s="21">
        <v>197.1</v>
      </c>
      <c r="AH334" s="21">
        <v>163.1</v>
      </c>
      <c r="AI334" s="21">
        <v>169.2</v>
      </c>
    </row>
    <row r="335" spans="1:35" x14ac:dyDescent="0.35">
      <c r="A335" s="21" t="s">
        <v>34</v>
      </c>
      <c r="B335" s="21">
        <v>2022</v>
      </c>
      <c r="C335" s="21" t="s">
        <v>37</v>
      </c>
      <c r="D335" s="17" t="str">
        <f t="shared" si="10"/>
        <v>April-2022</v>
      </c>
      <c r="E335" s="21">
        <v>152.9</v>
      </c>
      <c r="F335" s="21">
        <v>211.8</v>
      </c>
      <c r="G335" s="21">
        <v>164.5</v>
      </c>
      <c r="H335" s="21">
        <v>163.9</v>
      </c>
      <c r="I335" s="21">
        <v>199.5</v>
      </c>
      <c r="J335" s="21">
        <v>172.6</v>
      </c>
      <c r="K335" s="21">
        <v>166.2</v>
      </c>
      <c r="L335" s="21">
        <v>164.7</v>
      </c>
      <c r="M335" s="21">
        <v>119</v>
      </c>
      <c r="N335" s="21">
        <v>181.3</v>
      </c>
      <c r="O335" s="21">
        <v>166.2</v>
      </c>
      <c r="P335" s="21">
        <v>180.9</v>
      </c>
      <c r="Q335" s="21">
        <v>170.8</v>
      </c>
      <c r="R335" s="21">
        <v>2214.3000000000002</v>
      </c>
      <c r="S335" s="21">
        <v>173.9</v>
      </c>
      <c r="T335" s="21">
        <v>166.5</v>
      </c>
      <c r="U335" s="21">
        <v>172.8</v>
      </c>
      <c r="V335" s="21">
        <v>513.20000000000005</v>
      </c>
      <c r="W335" s="21">
        <v>167</v>
      </c>
      <c r="X335" s="21">
        <v>164</v>
      </c>
      <c r="Y335" s="21">
        <v>331</v>
      </c>
      <c r="Z335" s="21">
        <v>174</v>
      </c>
      <c r="AA335" s="21">
        <v>168.8</v>
      </c>
      <c r="AB335" s="21">
        <f t="shared" si="11"/>
        <v>342.8</v>
      </c>
      <c r="AC335" s="21">
        <v>172.2</v>
      </c>
      <c r="AD335" s="21">
        <v>162.6</v>
      </c>
      <c r="AE335" s="21">
        <v>164.4</v>
      </c>
      <c r="AF335" s="21">
        <v>166.9</v>
      </c>
      <c r="AG335" s="21">
        <v>193.9</v>
      </c>
      <c r="AH335" s="21">
        <v>166.8</v>
      </c>
      <c r="AI335" s="21">
        <v>170.1</v>
      </c>
    </row>
    <row r="336" spans="1:35" x14ac:dyDescent="0.35">
      <c r="A336" s="21" t="s">
        <v>30</v>
      </c>
      <c r="B336" s="21">
        <v>2022</v>
      </c>
      <c r="C336" s="21" t="s">
        <v>38</v>
      </c>
      <c r="D336" s="17" t="str">
        <f t="shared" si="10"/>
        <v>May-2022</v>
      </c>
      <c r="E336" s="21">
        <v>152.9</v>
      </c>
      <c r="F336" s="21">
        <v>214.7</v>
      </c>
      <c r="G336" s="21">
        <v>161.4</v>
      </c>
      <c r="H336" s="21">
        <v>164.6</v>
      </c>
      <c r="I336" s="21">
        <v>209.9</v>
      </c>
      <c r="J336" s="21">
        <v>168</v>
      </c>
      <c r="K336" s="21">
        <v>160.4</v>
      </c>
      <c r="L336" s="21">
        <v>165</v>
      </c>
      <c r="M336" s="21">
        <v>118.9</v>
      </c>
      <c r="N336" s="21">
        <v>186.6</v>
      </c>
      <c r="O336" s="21">
        <v>173.2</v>
      </c>
      <c r="P336" s="21">
        <v>180.4</v>
      </c>
      <c r="Q336" s="21">
        <v>170.8</v>
      </c>
      <c r="R336" s="21">
        <v>2226.8000000000002</v>
      </c>
      <c r="S336" s="21">
        <v>179.3</v>
      </c>
      <c r="T336" s="21">
        <v>177.2</v>
      </c>
      <c r="U336" s="21">
        <v>179</v>
      </c>
      <c r="V336" s="21">
        <v>535.5</v>
      </c>
      <c r="W336" s="21">
        <v>167.5</v>
      </c>
      <c r="X336" s="21">
        <v>168.9</v>
      </c>
      <c r="Y336" s="21">
        <v>336.4</v>
      </c>
      <c r="Z336" s="21">
        <v>177.7</v>
      </c>
      <c r="AA336" s="21">
        <v>168.5</v>
      </c>
      <c r="AB336" s="21">
        <f t="shared" si="11"/>
        <v>346.2</v>
      </c>
      <c r="AC336" s="21">
        <v>175.3</v>
      </c>
      <c r="AD336" s="21">
        <v>167.1</v>
      </c>
      <c r="AE336" s="21">
        <v>167.6</v>
      </c>
      <c r="AF336" s="21">
        <v>171.8</v>
      </c>
      <c r="AG336" s="21">
        <v>192.9</v>
      </c>
      <c r="AH336" s="21">
        <v>170.9</v>
      </c>
      <c r="AI336" s="21">
        <v>172.5</v>
      </c>
    </row>
    <row r="337" spans="1:35" x14ac:dyDescent="0.35">
      <c r="A337" s="21" t="s">
        <v>33</v>
      </c>
      <c r="B337" s="21">
        <v>2022</v>
      </c>
      <c r="C337" s="21" t="s">
        <v>38</v>
      </c>
      <c r="D337" s="17" t="str">
        <f t="shared" si="10"/>
        <v>May-2022</v>
      </c>
      <c r="E337" s="21">
        <v>156.69999999999999</v>
      </c>
      <c r="F337" s="21">
        <v>221.2</v>
      </c>
      <c r="G337" s="21">
        <v>164.1</v>
      </c>
      <c r="H337" s="21">
        <v>165.4</v>
      </c>
      <c r="I337" s="21">
        <v>189.5</v>
      </c>
      <c r="J337" s="21">
        <v>174.5</v>
      </c>
      <c r="K337" s="21">
        <v>203.2</v>
      </c>
      <c r="L337" s="21">
        <v>164.1</v>
      </c>
      <c r="M337" s="21">
        <v>121.2</v>
      </c>
      <c r="N337" s="21">
        <v>181.4</v>
      </c>
      <c r="O337" s="21">
        <v>158.5</v>
      </c>
      <c r="P337" s="21">
        <v>184.9</v>
      </c>
      <c r="Q337" s="21">
        <v>177.5</v>
      </c>
      <c r="R337" s="21">
        <v>2262.2000000000003</v>
      </c>
      <c r="S337" s="21">
        <v>170</v>
      </c>
      <c r="T337" s="21">
        <v>155.9</v>
      </c>
      <c r="U337" s="21">
        <v>167.8</v>
      </c>
      <c r="V337" s="21">
        <v>493.7</v>
      </c>
      <c r="W337" s="21">
        <v>167.5</v>
      </c>
      <c r="X337" s="21">
        <v>161.1</v>
      </c>
      <c r="Y337" s="21">
        <v>328.6</v>
      </c>
      <c r="Z337" s="21">
        <v>170.1</v>
      </c>
      <c r="AA337" s="21">
        <v>168.2</v>
      </c>
      <c r="AB337" s="21">
        <f t="shared" si="11"/>
        <v>338.29999999999995</v>
      </c>
      <c r="AC337" s="21">
        <v>173.5</v>
      </c>
      <c r="AD337" s="21">
        <v>159.4</v>
      </c>
      <c r="AE337" s="21">
        <v>163.19999999999999</v>
      </c>
      <c r="AF337" s="21">
        <v>165.2</v>
      </c>
      <c r="AG337" s="21">
        <v>197.5</v>
      </c>
      <c r="AH337" s="21">
        <v>163.80000000000001</v>
      </c>
      <c r="AI337" s="21">
        <v>170.8</v>
      </c>
    </row>
    <row r="338" spans="1:35" x14ac:dyDescent="0.35">
      <c r="A338" s="21" t="s">
        <v>34</v>
      </c>
      <c r="B338" s="21">
        <v>2022</v>
      </c>
      <c r="C338" s="21" t="s">
        <v>38</v>
      </c>
      <c r="D338" s="17" t="str">
        <f t="shared" si="10"/>
        <v>May-2022</v>
      </c>
      <c r="E338" s="21">
        <v>154.1</v>
      </c>
      <c r="F338" s="21">
        <v>217</v>
      </c>
      <c r="G338" s="21">
        <v>162.4</v>
      </c>
      <c r="H338" s="21">
        <v>164.9</v>
      </c>
      <c r="I338" s="21">
        <v>202.4</v>
      </c>
      <c r="J338" s="21">
        <v>171</v>
      </c>
      <c r="K338" s="21">
        <v>174.9</v>
      </c>
      <c r="L338" s="21">
        <v>164.7</v>
      </c>
      <c r="M338" s="21">
        <v>119.7</v>
      </c>
      <c r="N338" s="21">
        <v>184.9</v>
      </c>
      <c r="O338" s="21">
        <v>167.1</v>
      </c>
      <c r="P338" s="21">
        <v>182.5</v>
      </c>
      <c r="Q338" s="21">
        <v>173.3</v>
      </c>
      <c r="R338" s="21">
        <v>2238.9000000000005</v>
      </c>
      <c r="S338" s="21">
        <v>175.6</v>
      </c>
      <c r="T338" s="21">
        <v>168.4</v>
      </c>
      <c r="U338" s="21">
        <v>174.6</v>
      </c>
      <c r="V338" s="21">
        <v>518.6</v>
      </c>
      <c r="W338" s="21">
        <v>167.5</v>
      </c>
      <c r="X338" s="21">
        <v>165.2</v>
      </c>
      <c r="Y338" s="21">
        <v>332.7</v>
      </c>
      <c r="Z338" s="21">
        <v>174.8</v>
      </c>
      <c r="AA338" s="21">
        <v>168.4</v>
      </c>
      <c r="AB338" s="21">
        <f t="shared" si="11"/>
        <v>343.20000000000005</v>
      </c>
      <c r="AC338" s="21">
        <v>174.6</v>
      </c>
      <c r="AD338" s="21">
        <v>163</v>
      </c>
      <c r="AE338" s="21">
        <v>165.1</v>
      </c>
      <c r="AF338" s="21">
        <v>167.9</v>
      </c>
      <c r="AG338" s="21">
        <v>194.1</v>
      </c>
      <c r="AH338" s="21">
        <v>167.5</v>
      </c>
      <c r="AI338" s="21">
        <v>171.7</v>
      </c>
    </row>
    <row r="339" spans="1:35" x14ac:dyDescent="0.35">
      <c r="A339" s="21" t="s">
        <v>30</v>
      </c>
      <c r="B339" s="21">
        <v>2022</v>
      </c>
      <c r="C339" s="21" t="s">
        <v>39</v>
      </c>
      <c r="D339" s="17" t="str">
        <f t="shared" si="10"/>
        <v>June-2022</v>
      </c>
      <c r="E339" s="21">
        <v>153.80000000000001</v>
      </c>
      <c r="F339" s="21">
        <v>217.2</v>
      </c>
      <c r="G339" s="21">
        <v>169.6</v>
      </c>
      <c r="H339" s="21">
        <v>165.4</v>
      </c>
      <c r="I339" s="21">
        <v>208.1</v>
      </c>
      <c r="J339" s="21">
        <v>165.8</v>
      </c>
      <c r="K339" s="21">
        <v>167.3</v>
      </c>
      <c r="L339" s="21">
        <v>164.6</v>
      </c>
      <c r="M339" s="21">
        <v>119.1</v>
      </c>
      <c r="N339" s="21">
        <v>188.9</v>
      </c>
      <c r="O339" s="21">
        <v>174.2</v>
      </c>
      <c r="P339" s="21">
        <v>181.9</v>
      </c>
      <c r="Q339" s="21">
        <v>172.4</v>
      </c>
      <c r="R339" s="21">
        <v>2248.3000000000002</v>
      </c>
      <c r="S339" s="21">
        <v>180.7</v>
      </c>
      <c r="T339" s="21">
        <v>178.7</v>
      </c>
      <c r="U339" s="21">
        <v>180.4</v>
      </c>
      <c r="V339" s="21">
        <v>539.79999999999995</v>
      </c>
      <c r="W339" s="21">
        <v>166.8</v>
      </c>
      <c r="X339" s="21">
        <v>170.3</v>
      </c>
      <c r="Y339" s="21">
        <v>337.1</v>
      </c>
      <c r="Z339" s="21">
        <v>178.2</v>
      </c>
      <c r="AA339" s="21">
        <v>169.5</v>
      </c>
      <c r="AB339" s="21">
        <f t="shared" si="11"/>
        <v>347.7</v>
      </c>
      <c r="AC339" s="21">
        <v>176.7</v>
      </c>
      <c r="AD339" s="21">
        <v>165.5</v>
      </c>
      <c r="AE339" s="21">
        <v>168</v>
      </c>
      <c r="AF339" s="21">
        <v>172.6</v>
      </c>
      <c r="AG339" s="21">
        <v>192.9</v>
      </c>
      <c r="AH339" s="21">
        <v>171</v>
      </c>
      <c r="AI339" s="21">
        <v>173.6</v>
      </c>
    </row>
    <row r="340" spans="1:35" x14ac:dyDescent="0.35">
      <c r="A340" s="21" t="s">
        <v>33</v>
      </c>
      <c r="B340" s="21">
        <v>2022</v>
      </c>
      <c r="C340" s="21" t="s">
        <v>39</v>
      </c>
      <c r="D340" s="17" t="str">
        <f t="shared" si="10"/>
        <v>June-2022</v>
      </c>
      <c r="E340" s="21">
        <v>157.5</v>
      </c>
      <c r="F340" s="21">
        <v>223.4</v>
      </c>
      <c r="G340" s="21">
        <v>172.8</v>
      </c>
      <c r="H340" s="21">
        <v>166.4</v>
      </c>
      <c r="I340" s="21">
        <v>188.6</v>
      </c>
      <c r="J340" s="21">
        <v>174.1</v>
      </c>
      <c r="K340" s="21">
        <v>211.5</v>
      </c>
      <c r="L340" s="21">
        <v>163.6</v>
      </c>
      <c r="M340" s="21">
        <v>121.4</v>
      </c>
      <c r="N340" s="21">
        <v>183.5</v>
      </c>
      <c r="O340" s="21">
        <v>159.1</v>
      </c>
      <c r="P340" s="21">
        <v>186.3</v>
      </c>
      <c r="Q340" s="21">
        <v>179.3</v>
      </c>
      <c r="R340" s="21">
        <v>2287.5</v>
      </c>
      <c r="S340" s="21">
        <v>171.6</v>
      </c>
      <c r="T340" s="21">
        <v>157.4</v>
      </c>
      <c r="U340" s="21">
        <v>169.4</v>
      </c>
      <c r="V340" s="21">
        <v>498.4</v>
      </c>
      <c r="W340" s="21">
        <v>166.8</v>
      </c>
      <c r="X340" s="21">
        <v>162.1</v>
      </c>
      <c r="Y340" s="21">
        <v>328.9</v>
      </c>
      <c r="Z340" s="21">
        <v>170.9</v>
      </c>
      <c r="AA340" s="21">
        <v>169.2</v>
      </c>
      <c r="AB340" s="21">
        <f t="shared" si="11"/>
        <v>340.1</v>
      </c>
      <c r="AC340" s="21">
        <v>174.9</v>
      </c>
      <c r="AD340" s="21">
        <v>157.19999999999999</v>
      </c>
      <c r="AE340" s="21">
        <v>164.1</v>
      </c>
      <c r="AF340" s="21">
        <v>166.5</v>
      </c>
      <c r="AG340" s="21">
        <v>198.3</v>
      </c>
      <c r="AH340" s="21">
        <v>163.80000000000001</v>
      </c>
      <c r="AI340" s="21">
        <v>171.4</v>
      </c>
    </row>
    <row r="341" spans="1:35" x14ac:dyDescent="0.35">
      <c r="A341" s="21" t="s">
        <v>34</v>
      </c>
      <c r="B341" s="21">
        <v>2022</v>
      </c>
      <c r="C341" s="21" t="s">
        <v>39</v>
      </c>
      <c r="D341" s="17" t="str">
        <f t="shared" si="10"/>
        <v>June-2022</v>
      </c>
      <c r="E341" s="21">
        <v>155</v>
      </c>
      <c r="F341" s="21">
        <v>219.4</v>
      </c>
      <c r="G341" s="21">
        <v>170.8</v>
      </c>
      <c r="H341" s="21">
        <v>165.8</v>
      </c>
      <c r="I341" s="21">
        <v>200.9</v>
      </c>
      <c r="J341" s="21">
        <v>169.7</v>
      </c>
      <c r="K341" s="21">
        <v>182.3</v>
      </c>
      <c r="L341" s="21">
        <v>164.3</v>
      </c>
      <c r="M341" s="21">
        <v>119.9</v>
      </c>
      <c r="N341" s="21">
        <v>187.1</v>
      </c>
      <c r="O341" s="21">
        <v>167.9</v>
      </c>
      <c r="P341" s="21">
        <v>183.9</v>
      </c>
      <c r="Q341" s="21">
        <v>174.9</v>
      </c>
      <c r="R341" s="21">
        <v>2261.9</v>
      </c>
      <c r="S341" s="21">
        <v>177.1</v>
      </c>
      <c r="T341" s="21">
        <v>169.9</v>
      </c>
      <c r="U341" s="21">
        <v>176</v>
      </c>
      <c r="V341" s="21">
        <v>523</v>
      </c>
      <c r="W341" s="21">
        <v>166.8</v>
      </c>
      <c r="X341" s="21">
        <v>166.4</v>
      </c>
      <c r="Y341" s="21">
        <v>333.20000000000005</v>
      </c>
      <c r="Z341" s="21">
        <v>175.4</v>
      </c>
      <c r="AA341" s="21">
        <v>169.4</v>
      </c>
      <c r="AB341" s="21">
        <f t="shared" si="11"/>
        <v>344.8</v>
      </c>
      <c r="AC341" s="21">
        <v>176</v>
      </c>
      <c r="AD341" s="21">
        <v>161.1</v>
      </c>
      <c r="AE341" s="21">
        <v>165.8</v>
      </c>
      <c r="AF341" s="21">
        <v>169</v>
      </c>
      <c r="AG341" s="21">
        <v>194.3</v>
      </c>
      <c r="AH341" s="21">
        <v>167.5</v>
      </c>
      <c r="AI341" s="21">
        <v>172.6</v>
      </c>
    </row>
    <row r="342" spans="1:35" x14ac:dyDescent="0.35">
      <c r="A342" s="21" t="s">
        <v>30</v>
      </c>
      <c r="B342" s="21">
        <v>2022</v>
      </c>
      <c r="C342" s="21" t="s">
        <v>40</v>
      </c>
      <c r="D342" s="17" t="str">
        <f t="shared" si="10"/>
        <v>July-2022</v>
      </c>
      <c r="E342" s="21">
        <v>155.19999999999999</v>
      </c>
      <c r="F342" s="21">
        <v>210.8</v>
      </c>
      <c r="G342" s="21">
        <v>174.3</v>
      </c>
      <c r="H342" s="21">
        <v>166.3</v>
      </c>
      <c r="I342" s="21">
        <v>202.2</v>
      </c>
      <c r="J342" s="21">
        <v>169.6</v>
      </c>
      <c r="K342" s="21">
        <v>168.6</v>
      </c>
      <c r="L342" s="21">
        <v>164.4</v>
      </c>
      <c r="M342" s="21">
        <v>119.2</v>
      </c>
      <c r="N342" s="21">
        <v>191.8</v>
      </c>
      <c r="O342" s="21">
        <v>174.5</v>
      </c>
      <c r="P342" s="21">
        <v>183.1</v>
      </c>
      <c r="Q342" s="21">
        <v>172.5</v>
      </c>
      <c r="R342" s="21">
        <v>2252.5</v>
      </c>
      <c r="S342" s="21">
        <v>182</v>
      </c>
      <c r="T342" s="21">
        <v>180.3</v>
      </c>
      <c r="U342" s="21">
        <v>181.7</v>
      </c>
      <c r="V342" s="21">
        <v>544</v>
      </c>
      <c r="W342" s="21">
        <v>167.8</v>
      </c>
      <c r="X342" s="21">
        <v>171.3</v>
      </c>
      <c r="Y342" s="21">
        <v>339.1</v>
      </c>
      <c r="Z342" s="21">
        <v>178.8</v>
      </c>
      <c r="AA342" s="21">
        <v>169.7</v>
      </c>
      <c r="AB342" s="21">
        <f t="shared" si="11"/>
        <v>348.5</v>
      </c>
      <c r="AC342" s="21">
        <v>179.6</v>
      </c>
      <c r="AD342" s="21">
        <v>166.3</v>
      </c>
      <c r="AE342" s="21">
        <v>168.6</v>
      </c>
      <c r="AF342" s="21">
        <v>174.7</v>
      </c>
      <c r="AG342" s="21">
        <v>193.2</v>
      </c>
      <c r="AH342" s="21">
        <v>171.8</v>
      </c>
      <c r="AI342" s="21">
        <v>174.3</v>
      </c>
    </row>
    <row r="343" spans="1:35" x14ac:dyDescent="0.35">
      <c r="A343" s="21" t="s">
        <v>33</v>
      </c>
      <c r="B343" s="21">
        <v>2022</v>
      </c>
      <c r="C343" s="21" t="s">
        <v>40</v>
      </c>
      <c r="D343" s="17" t="str">
        <f t="shared" si="10"/>
        <v>July-2022</v>
      </c>
      <c r="E343" s="21">
        <v>159.30000000000001</v>
      </c>
      <c r="F343" s="21">
        <v>217.1</v>
      </c>
      <c r="G343" s="21">
        <v>176.6</v>
      </c>
      <c r="H343" s="21">
        <v>167.1</v>
      </c>
      <c r="I343" s="21">
        <v>184.8</v>
      </c>
      <c r="J343" s="21">
        <v>179.5</v>
      </c>
      <c r="K343" s="21">
        <v>208.5</v>
      </c>
      <c r="L343" s="21">
        <v>164</v>
      </c>
      <c r="M343" s="21">
        <v>121.5</v>
      </c>
      <c r="N343" s="21">
        <v>186.3</v>
      </c>
      <c r="O343" s="21">
        <v>159.80000000000001</v>
      </c>
      <c r="P343" s="21">
        <v>187.7</v>
      </c>
      <c r="Q343" s="21">
        <v>179.4</v>
      </c>
      <c r="R343" s="21">
        <v>2291.6</v>
      </c>
      <c r="S343" s="21">
        <v>172.7</v>
      </c>
      <c r="T343" s="21">
        <v>158.69999999999999</v>
      </c>
      <c r="U343" s="21">
        <v>170.6</v>
      </c>
      <c r="V343" s="21">
        <v>502</v>
      </c>
      <c r="W343" s="21">
        <v>167.8</v>
      </c>
      <c r="X343" s="21">
        <v>163.1</v>
      </c>
      <c r="Y343" s="21">
        <v>330.9</v>
      </c>
      <c r="Z343" s="21">
        <v>171.7</v>
      </c>
      <c r="AA343" s="21">
        <v>169.8</v>
      </c>
      <c r="AB343" s="21">
        <f t="shared" si="11"/>
        <v>341.5</v>
      </c>
      <c r="AC343" s="21">
        <v>179.5</v>
      </c>
      <c r="AD343" s="21">
        <v>157.4</v>
      </c>
      <c r="AE343" s="21">
        <v>164.6</v>
      </c>
      <c r="AF343" s="21">
        <v>169.1</v>
      </c>
      <c r="AG343" s="21">
        <v>198.6</v>
      </c>
      <c r="AH343" s="21">
        <v>164.7</v>
      </c>
      <c r="AI343" s="21">
        <v>172.3</v>
      </c>
    </row>
    <row r="344" spans="1:35" x14ac:dyDescent="0.35">
      <c r="A344" s="21" t="s">
        <v>34</v>
      </c>
      <c r="B344" s="21">
        <v>2022</v>
      </c>
      <c r="C344" s="21" t="s">
        <v>40</v>
      </c>
      <c r="D344" s="17" t="str">
        <f t="shared" si="10"/>
        <v>July-2022</v>
      </c>
      <c r="E344" s="21">
        <v>156.5</v>
      </c>
      <c r="F344" s="21">
        <v>213</v>
      </c>
      <c r="G344" s="21">
        <v>175.2</v>
      </c>
      <c r="H344" s="21">
        <v>166.6</v>
      </c>
      <c r="I344" s="21">
        <v>195.8</v>
      </c>
      <c r="J344" s="21">
        <v>174.2</v>
      </c>
      <c r="K344" s="21">
        <v>182.1</v>
      </c>
      <c r="L344" s="21">
        <v>164.3</v>
      </c>
      <c r="M344" s="21">
        <v>120</v>
      </c>
      <c r="N344" s="21">
        <v>190</v>
      </c>
      <c r="O344" s="21">
        <v>168.4</v>
      </c>
      <c r="P344" s="21">
        <v>185.2</v>
      </c>
      <c r="Q344" s="21">
        <v>175</v>
      </c>
      <c r="R344" s="21">
        <v>2266.3000000000002</v>
      </c>
      <c r="S344" s="21">
        <v>178.3</v>
      </c>
      <c r="T344" s="21">
        <v>171.3</v>
      </c>
      <c r="U344" s="21">
        <v>177.3</v>
      </c>
      <c r="V344" s="21">
        <v>526.90000000000009</v>
      </c>
      <c r="W344" s="21">
        <v>167.8</v>
      </c>
      <c r="X344" s="21">
        <v>167.4</v>
      </c>
      <c r="Y344" s="21">
        <v>335.20000000000005</v>
      </c>
      <c r="Z344" s="21">
        <v>176.1</v>
      </c>
      <c r="AA344" s="21">
        <v>169.7</v>
      </c>
      <c r="AB344" s="21">
        <f t="shared" si="11"/>
        <v>345.79999999999995</v>
      </c>
      <c r="AC344" s="21">
        <v>179.6</v>
      </c>
      <c r="AD344" s="21">
        <v>161.6</v>
      </c>
      <c r="AE344" s="21">
        <v>166.3</v>
      </c>
      <c r="AF344" s="21">
        <v>171.4</v>
      </c>
      <c r="AG344" s="21">
        <v>194.6</v>
      </c>
      <c r="AH344" s="21">
        <v>168.4</v>
      </c>
      <c r="AI344" s="21">
        <v>173.4</v>
      </c>
    </row>
    <row r="345" spans="1:35" x14ac:dyDescent="0.35">
      <c r="A345" s="21" t="s">
        <v>30</v>
      </c>
      <c r="B345" s="21">
        <v>2022</v>
      </c>
      <c r="C345" s="21" t="s">
        <v>41</v>
      </c>
      <c r="D345" s="17" t="str">
        <f t="shared" si="10"/>
        <v>August-2022</v>
      </c>
      <c r="E345" s="21">
        <v>159.5</v>
      </c>
      <c r="F345" s="21">
        <v>204.1</v>
      </c>
      <c r="G345" s="21">
        <v>168.3</v>
      </c>
      <c r="H345" s="21">
        <v>167.9</v>
      </c>
      <c r="I345" s="21">
        <v>198.1</v>
      </c>
      <c r="J345" s="21">
        <v>169.2</v>
      </c>
      <c r="K345" s="21">
        <v>173.1</v>
      </c>
      <c r="L345" s="21">
        <v>167.1</v>
      </c>
      <c r="M345" s="21">
        <v>120.2</v>
      </c>
      <c r="N345" s="21">
        <v>195.6</v>
      </c>
      <c r="O345" s="21">
        <v>174.8</v>
      </c>
      <c r="P345" s="21">
        <v>184</v>
      </c>
      <c r="Q345" s="21">
        <v>173.9</v>
      </c>
      <c r="R345" s="21">
        <v>2255.7999999999997</v>
      </c>
      <c r="S345" s="21">
        <v>183.2</v>
      </c>
      <c r="T345" s="21">
        <v>181.7</v>
      </c>
      <c r="U345" s="21">
        <v>183</v>
      </c>
      <c r="V345" s="21">
        <v>547.9</v>
      </c>
      <c r="W345" s="21">
        <v>169</v>
      </c>
      <c r="X345" s="21">
        <v>172.3</v>
      </c>
      <c r="Y345" s="21">
        <v>341.3</v>
      </c>
      <c r="Z345" s="21">
        <v>179.4</v>
      </c>
      <c r="AA345" s="21">
        <v>171.1</v>
      </c>
      <c r="AB345" s="21">
        <f t="shared" si="11"/>
        <v>350.5</v>
      </c>
      <c r="AC345" s="21">
        <v>179.1</v>
      </c>
      <c r="AD345" s="21">
        <v>166.6</v>
      </c>
      <c r="AE345" s="21">
        <v>169.3</v>
      </c>
      <c r="AF345" s="21">
        <v>175.7</v>
      </c>
      <c r="AG345" s="21">
        <v>193.7</v>
      </c>
      <c r="AH345" s="21">
        <v>172.6</v>
      </c>
      <c r="AI345" s="21">
        <v>175.3</v>
      </c>
    </row>
    <row r="346" spans="1:35" x14ac:dyDescent="0.35">
      <c r="A346" s="21" t="s">
        <v>33</v>
      </c>
      <c r="B346" s="21">
        <v>2022</v>
      </c>
      <c r="C346" s="21" t="s">
        <v>41</v>
      </c>
      <c r="D346" s="17" t="str">
        <f t="shared" si="10"/>
        <v>August-2022</v>
      </c>
      <c r="E346" s="21">
        <v>162.1</v>
      </c>
      <c r="F346" s="21">
        <v>210.9</v>
      </c>
      <c r="G346" s="21">
        <v>170.6</v>
      </c>
      <c r="H346" s="21">
        <v>168.4</v>
      </c>
      <c r="I346" s="21">
        <v>182.5</v>
      </c>
      <c r="J346" s="21">
        <v>177.1</v>
      </c>
      <c r="K346" s="21">
        <v>213.1</v>
      </c>
      <c r="L346" s="21">
        <v>167.3</v>
      </c>
      <c r="M346" s="21">
        <v>122.2</v>
      </c>
      <c r="N346" s="21">
        <v>189.7</v>
      </c>
      <c r="O346" s="21">
        <v>160.5</v>
      </c>
      <c r="P346" s="21">
        <v>188.9</v>
      </c>
      <c r="Q346" s="21">
        <v>180.4</v>
      </c>
      <c r="R346" s="21">
        <v>2293.6999999999998</v>
      </c>
      <c r="S346" s="21">
        <v>173.7</v>
      </c>
      <c r="T346" s="21">
        <v>160</v>
      </c>
      <c r="U346" s="21">
        <v>171.6</v>
      </c>
      <c r="V346" s="21">
        <v>505.29999999999995</v>
      </c>
      <c r="W346" s="21">
        <v>169</v>
      </c>
      <c r="X346" s="21">
        <v>164.2</v>
      </c>
      <c r="Y346" s="21">
        <v>333.2</v>
      </c>
      <c r="Z346" s="21">
        <v>172.6</v>
      </c>
      <c r="AA346" s="21">
        <v>171.4</v>
      </c>
      <c r="AB346" s="21">
        <f t="shared" si="11"/>
        <v>344</v>
      </c>
      <c r="AC346" s="21">
        <v>178.4</v>
      </c>
      <c r="AD346" s="21">
        <v>157.69999999999999</v>
      </c>
      <c r="AE346" s="21">
        <v>165.1</v>
      </c>
      <c r="AF346" s="21">
        <v>169.9</v>
      </c>
      <c r="AG346" s="21">
        <v>198.7</v>
      </c>
      <c r="AH346" s="21">
        <v>165.4</v>
      </c>
      <c r="AI346" s="21">
        <v>173.1</v>
      </c>
    </row>
    <row r="347" spans="1:35" x14ac:dyDescent="0.35">
      <c r="A347" s="21" t="s">
        <v>34</v>
      </c>
      <c r="B347" s="21">
        <v>2022</v>
      </c>
      <c r="C347" s="21" t="s">
        <v>41</v>
      </c>
      <c r="D347" s="17" t="str">
        <f t="shared" si="10"/>
        <v>August-2022</v>
      </c>
      <c r="E347" s="21">
        <v>160.30000000000001</v>
      </c>
      <c r="F347" s="21">
        <v>206.5</v>
      </c>
      <c r="G347" s="21">
        <v>169.2</v>
      </c>
      <c r="H347" s="21">
        <v>168.1</v>
      </c>
      <c r="I347" s="21">
        <v>192.4</v>
      </c>
      <c r="J347" s="21">
        <v>172.9</v>
      </c>
      <c r="K347" s="21">
        <v>186.7</v>
      </c>
      <c r="L347" s="21">
        <v>167.2</v>
      </c>
      <c r="M347" s="21">
        <v>120.9</v>
      </c>
      <c r="N347" s="21">
        <v>193.6</v>
      </c>
      <c r="O347" s="21">
        <v>168.8</v>
      </c>
      <c r="P347" s="21">
        <v>186.3</v>
      </c>
      <c r="Q347" s="21">
        <v>176.3</v>
      </c>
      <c r="R347" s="21">
        <v>2269.2000000000003</v>
      </c>
      <c r="S347" s="21">
        <v>179.5</v>
      </c>
      <c r="T347" s="21">
        <v>172.7</v>
      </c>
      <c r="U347" s="21">
        <v>178.5</v>
      </c>
      <c r="V347" s="21">
        <v>530.70000000000005</v>
      </c>
      <c r="W347" s="21">
        <v>169</v>
      </c>
      <c r="X347" s="21">
        <v>168.5</v>
      </c>
      <c r="Y347" s="21">
        <v>337.5</v>
      </c>
      <c r="Z347" s="21">
        <v>176.8</v>
      </c>
      <c r="AA347" s="21">
        <v>171.2</v>
      </c>
      <c r="AB347" s="21">
        <f t="shared" si="11"/>
        <v>348</v>
      </c>
      <c r="AC347" s="21">
        <v>178.8</v>
      </c>
      <c r="AD347" s="21">
        <v>161.9</v>
      </c>
      <c r="AE347" s="21">
        <v>166.9</v>
      </c>
      <c r="AF347" s="21">
        <v>172.3</v>
      </c>
      <c r="AG347" s="21">
        <v>195</v>
      </c>
      <c r="AH347" s="21">
        <v>169.1</v>
      </c>
      <c r="AI347" s="21">
        <v>174.3</v>
      </c>
    </row>
    <row r="348" spans="1:35" x14ac:dyDescent="0.35">
      <c r="A348" s="21" t="s">
        <v>30</v>
      </c>
      <c r="B348" s="21">
        <v>2022</v>
      </c>
      <c r="C348" s="21" t="s">
        <v>42</v>
      </c>
      <c r="D348" s="17" t="str">
        <f t="shared" si="10"/>
        <v>September-2022</v>
      </c>
      <c r="E348" s="21">
        <v>162.9</v>
      </c>
      <c r="F348" s="21">
        <v>206.7</v>
      </c>
      <c r="G348" s="21">
        <v>169</v>
      </c>
      <c r="H348" s="21">
        <v>169.5</v>
      </c>
      <c r="I348" s="21">
        <v>194.1</v>
      </c>
      <c r="J348" s="21">
        <v>164.1</v>
      </c>
      <c r="K348" s="21">
        <v>176.9</v>
      </c>
      <c r="L348" s="21">
        <v>169</v>
      </c>
      <c r="M348" s="21">
        <v>120.8</v>
      </c>
      <c r="N348" s="21">
        <v>199.1</v>
      </c>
      <c r="O348" s="21">
        <v>175.4</v>
      </c>
      <c r="P348" s="21">
        <v>184.8</v>
      </c>
      <c r="Q348" s="21">
        <v>175.5</v>
      </c>
      <c r="R348" s="21">
        <v>2267.8000000000002</v>
      </c>
      <c r="S348" s="21">
        <v>184.7</v>
      </c>
      <c r="T348" s="21">
        <v>183.3</v>
      </c>
      <c r="U348" s="21">
        <v>184.5</v>
      </c>
      <c r="V348" s="21">
        <v>552.5</v>
      </c>
      <c r="W348" s="21">
        <v>169.5</v>
      </c>
      <c r="X348" s="21">
        <v>173.6</v>
      </c>
      <c r="Y348" s="21">
        <v>343.1</v>
      </c>
      <c r="Z348" s="21">
        <v>180.2</v>
      </c>
      <c r="AA348" s="21">
        <v>170.8</v>
      </c>
      <c r="AB348" s="21">
        <f t="shared" si="11"/>
        <v>351</v>
      </c>
      <c r="AC348" s="21">
        <v>179.7</v>
      </c>
      <c r="AD348" s="21">
        <v>166.9</v>
      </c>
      <c r="AE348" s="21">
        <v>170</v>
      </c>
      <c r="AF348" s="21">
        <v>176.2</v>
      </c>
      <c r="AG348" s="21">
        <v>194.5</v>
      </c>
      <c r="AH348" s="21">
        <v>173.1</v>
      </c>
      <c r="AI348" s="21">
        <v>176.4</v>
      </c>
    </row>
    <row r="349" spans="1:35" x14ac:dyDescent="0.35">
      <c r="A349" s="21" t="s">
        <v>33</v>
      </c>
      <c r="B349" s="21">
        <v>2022</v>
      </c>
      <c r="C349" s="21" t="s">
        <v>42</v>
      </c>
      <c r="D349" s="17" t="str">
        <f t="shared" si="10"/>
        <v>September-2022</v>
      </c>
      <c r="E349" s="21">
        <v>164.9</v>
      </c>
      <c r="F349" s="21">
        <v>213.7</v>
      </c>
      <c r="G349" s="21">
        <v>170.9</v>
      </c>
      <c r="H349" s="21">
        <v>170.1</v>
      </c>
      <c r="I349" s="21">
        <v>179.3</v>
      </c>
      <c r="J349" s="21">
        <v>167.5</v>
      </c>
      <c r="K349" s="21">
        <v>220.8</v>
      </c>
      <c r="L349" s="21">
        <v>169.2</v>
      </c>
      <c r="M349" s="21">
        <v>123.1</v>
      </c>
      <c r="N349" s="21">
        <v>193.6</v>
      </c>
      <c r="O349" s="21">
        <v>161.1</v>
      </c>
      <c r="P349" s="21">
        <v>190.4</v>
      </c>
      <c r="Q349" s="21">
        <v>181.8</v>
      </c>
      <c r="R349" s="21">
        <v>2306.4</v>
      </c>
      <c r="S349" s="21">
        <v>175</v>
      </c>
      <c r="T349" s="21">
        <v>161.69999999999999</v>
      </c>
      <c r="U349" s="21">
        <v>173</v>
      </c>
      <c r="V349" s="21">
        <v>509.7</v>
      </c>
      <c r="W349" s="21">
        <v>169.5</v>
      </c>
      <c r="X349" s="21">
        <v>165</v>
      </c>
      <c r="Y349" s="21">
        <v>334.5</v>
      </c>
      <c r="Z349" s="21">
        <v>173.8</v>
      </c>
      <c r="AA349" s="21">
        <v>171.1</v>
      </c>
      <c r="AB349" s="21">
        <f t="shared" si="11"/>
        <v>344.9</v>
      </c>
      <c r="AC349" s="21">
        <v>179.2</v>
      </c>
      <c r="AD349" s="21">
        <v>158.19999999999999</v>
      </c>
      <c r="AE349" s="21">
        <v>165.8</v>
      </c>
      <c r="AF349" s="21">
        <v>170.9</v>
      </c>
      <c r="AG349" s="21">
        <v>199.7</v>
      </c>
      <c r="AH349" s="21">
        <v>166.1</v>
      </c>
      <c r="AI349" s="21">
        <v>174.1</v>
      </c>
    </row>
    <row r="350" spans="1:35" x14ac:dyDescent="0.35">
      <c r="A350" s="21" t="s">
        <v>34</v>
      </c>
      <c r="B350" s="21">
        <v>2022</v>
      </c>
      <c r="C350" s="21" t="s">
        <v>42</v>
      </c>
      <c r="D350" s="17" t="str">
        <f t="shared" si="10"/>
        <v>September-2022</v>
      </c>
      <c r="E350" s="21">
        <v>163.5</v>
      </c>
      <c r="F350" s="21">
        <v>209.2</v>
      </c>
      <c r="G350" s="21">
        <v>169.7</v>
      </c>
      <c r="H350" s="21">
        <v>169.7</v>
      </c>
      <c r="I350" s="21">
        <v>188.7</v>
      </c>
      <c r="J350" s="21">
        <v>165.7</v>
      </c>
      <c r="K350" s="21">
        <v>191.8</v>
      </c>
      <c r="L350" s="21">
        <v>169.1</v>
      </c>
      <c r="M350" s="21">
        <v>121.6</v>
      </c>
      <c r="N350" s="21">
        <v>197.3</v>
      </c>
      <c r="O350" s="21">
        <v>169.4</v>
      </c>
      <c r="P350" s="21">
        <v>187.4</v>
      </c>
      <c r="Q350" s="21">
        <v>177.8</v>
      </c>
      <c r="R350" s="21">
        <v>2280.9</v>
      </c>
      <c r="S350" s="21">
        <v>180.9</v>
      </c>
      <c r="T350" s="21">
        <v>174.3</v>
      </c>
      <c r="U350" s="21">
        <v>179.9</v>
      </c>
      <c r="V350" s="21">
        <v>535.1</v>
      </c>
      <c r="W350" s="21">
        <v>169.5</v>
      </c>
      <c r="X350" s="21">
        <v>169.5</v>
      </c>
      <c r="Y350" s="21">
        <v>339</v>
      </c>
      <c r="Z350" s="21">
        <v>177.8</v>
      </c>
      <c r="AA350" s="21">
        <v>170.9</v>
      </c>
      <c r="AB350" s="21">
        <f t="shared" si="11"/>
        <v>348.70000000000005</v>
      </c>
      <c r="AC350" s="21">
        <v>179.5</v>
      </c>
      <c r="AD350" s="21">
        <v>162.30000000000001</v>
      </c>
      <c r="AE350" s="21">
        <v>167.6</v>
      </c>
      <c r="AF350" s="21">
        <v>173.1</v>
      </c>
      <c r="AG350" s="21">
        <v>195.9</v>
      </c>
      <c r="AH350" s="21">
        <v>169.7</v>
      </c>
      <c r="AI350" s="21">
        <v>175.3</v>
      </c>
    </row>
    <row r="351" spans="1:35" x14ac:dyDescent="0.35">
      <c r="A351" s="21" t="s">
        <v>30</v>
      </c>
      <c r="B351" s="21">
        <v>2022</v>
      </c>
      <c r="C351" s="21" t="s">
        <v>43</v>
      </c>
      <c r="D351" s="17" t="str">
        <f t="shared" si="10"/>
        <v>October-2022</v>
      </c>
      <c r="E351" s="21">
        <v>164.7</v>
      </c>
      <c r="F351" s="21">
        <v>208.8</v>
      </c>
      <c r="G351" s="21">
        <v>170.3</v>
      </c>
      <c r="H351" s="21">
        <v>170.9</v>
      </c>
      <c r="I351" s="21">
        <v>191.6</v>
      </c>
      <c r="J351" s="21">
        <v>162.19999999999999</v>
      </c>
      <c r="K351" s="21">
        <v>184.8</v>
      </c>
      <c r="L351" s="21">
        <v>169.7</v>
      </c>
      <c r="M351" s="21">
        <v>121.1</v>
      </c>
      <c r="N351" s="21">
        <v>201.6</v>
      </c>
      <c r="O351" s="21">
        <v>175.8</v>
      </c>
      <c r="P351" s="21">
        <v>185.6</v>
      </c>
      <c r="Q351" s="21">
        <v>177.4</v>
      </c>
      <c r="R351" s="21">
        <v>2284.5</v>
      </c>
      <c r="S351" s="21">
        <v>186.1</v>
      </c>
      <c r="T351" s="21">
        <v>184.4</v>
      </c>
      <c r="U351" s="21">
        <v>185.9</v>
      </c>
      <c r="V351" s="21">
        <v>556.4</v>
      </c>
      <c r="W351" s="21">
        <v>171.2</v>
      </c>
      <c r="X351" s="21">
        <v>174.4</v>
      </c>
      <c r="Y351" s="21">
        <v>345.6</v>
      </c>
      <c r="Z351" s="21">
        <v>181.2</v>
      </c>
      <c r="AA351" s="21">
        <v>172</v>
      </c>
      <c r="AB351" s="21">
        <f t="shared" si="11"/>
        <v>353.2</v>
      </c>
      <c r="AC351" s="21">
        <v>180.8</v>
      </c>
      <c r="AD351" s="21">
        <v>167.4</v>
      </c>
      <c r="AE351" s="21">
        <v>170.6</v>
      </c>
      <c r="AF351" s="21">
        <v>176.5</v>
      </c>
      <c r="AG351" s="21">
        <v>194.9</v>
      </c>
      <c r="AH351" s="21">
        <v>173.9</v>
      </c>
      <c r="AI351" s="21">
        <v>177.9</v>
      </c>
    </row>
    <row r="352" spans="1:35" x14ac:dyDescent="0.35">
      <c r="A352" s="21" t="s">
        <v>33</v>
      </c>
      <c r="B352" s="21">
        <v>2022</v>
      </c>
      <c r="C352" s="21" t="s">
        <v>43</v>
      </c>
      <c r="D352" s="17" t="str">
        <f t="shared" si="10"/>
        <v>October-2022</v>
      </c>
      <c r="E352" s="21">
        <v>166.4</v>
      </c>
      <c r="F352" s="21">
        <v>214.9</v>
      </c>
      <c r="G352" s="21">
        <v>171.9</v>
      </c>
      <c r="H352" s="21">
        <v>171</v>
      </c>
      <c r="I352" s="21">
        <v>177.7</v>
      </c>
      <c r="J352" s="21">
        <v>165.7</v>
      </c>
      <c r="K352" s="21">
        <v>228.6</v>
      </c>
      <c r="L352" s="21">
        <v>169.9</v>
      </c>
      <c r="M352" s="21">
        <v>123.4</v>
      </c>
      <c r="N352" s="21">
        <v>196.4</v>
      </c>
      <c r="O352" s="21">
        <v>161.6</v>
      </c>
      <c r="P352" s="21">
        <v>191.5</v>
      </c>
      <c r="Q352" s="21">
        <v>183.3</v>
      </c>
      <c r="R352" s="21">
        <v>2322.3000000000002</v>
      </c>
      <c r="S352" s="21">
        <v>175.5</v>
      </c>
      <c r="T352" s="21">
        <v>162.6</v>
      </c>
      <c r="U352" s="21">
        <v>173.6</v>
      </c>
      <c r="V352" s="21">
        <v>511.70000000000005</v>
      </c>
      <c r="W352" s="21">
        <v>171.2</v>
      </c>
      <c r="X352" s="21">
        <v>166</v>
      </c>
      <c r="Y352" s="21">
        <v>337.2</v>
      </c>
      <c r="Z352" s="21">
        <v>174.7</v>
      </c>
      <c r="AA352" s="21">
        <v>172.3</v>
      </c>
      <c r="AB352" s="21">
        <f t="shared" si="11"/>
        <v>347</v>
      </c>
      <c r="AC352" s="21">
        <v>180</v>
      </c>
      <c r="AD352" s="21">
        <v>158.80000000000001</v>
      </c>
      <c r="AE352" s="21">
        <v>166.3</v>
      </c>
      <c r="AF352" s="21">
        <v>171.2</v>
      </c>
      <c r="AG352" s="21">
        <v>200.1</v>
      </c>
      <c r="AH352" s="21">
        <v>166.8</v>
      </c>
      <c r="AI352" s="21">
        <v>175.3</v>
      </c>
    </row>
    <row r="353" spans="1:35" x14ac:dyDescent="0.35">
      <c r="A353" s="21" t="s">
        <v>34</v>
      </c>
      <c r="B353" s="21">
        <v>2022</v>
      </c>
      <c r="C353" s="21" t="s">
        <v>43</v>
      </c>
      <c r="D353" s="17" t="str">
        <f t="shared" si="10"/>
        <v>October-2022</v>
      </c>
      <c r="E353" s="21">
        <v>165.2</v>
      </c>
      <c r="F353" s="21">
        <v>210.9</v>
      </c>
      <c r="G353" s="21">
        <v>170.9</v>
      </c>
      <c r="H353" s="21">
        <v>170.9</v>
      </c>
      <c r="I353" s="21">
        <v>186.5</v>
      </c>
      <c r="J353" s="21">
        <v>163.80000000000001</v>
      </c>
      <c r="K353" s="21">
        <v>199.7</v>
      </c>
      <c r="L353" s="21">
        <v>169.8</v>
      </c>
      <c r="M353" s="21">
        <v>121.9</v>
      </c>
      <c r="N353" s="21">
        <v>199.9</v>
      </c>
      <c r="O353" s="21">
        <v>169.9</v>
      </c>
      <c r="P353" s="21">
        <v>188.3</v>
      </c>
      <c r="Q353" s="21">
        <v>179.6</v>
      </c>
      <c r="R353" s="21">
        <v>2297.3000000000002</v>
      </c>
      <c r="S353" s="21">
        <v>181.9</v>
      </c>
      <c r="T353" s="21">
        <v>175.3</v>
      </c>
      <c r="U353" s="21">
        <v>181</v>
      </c>
      <c r="V353" s="21">
        <v>538.20000000000005</v>
      </c>
      <c r="W353" s="21">
        <v>171.2</v>
      </c>
      <c r="X353" s="21">
        <v>170.4</v>
      </c>
      <c r="Y353" s="21">
        <v>341.6</v>
      </c>
      <c r="Z353" s="21">
        <v>178.7</v>
      </c>
      <c r="AA353" s="21">
        <v>172.1</v>
      </c>
      <c r="AB353" s="21">
        <f t="shared" si="11"/>
        <v>350.79999999999995</v>
      </c>
      <c r="AC353" s="21">
        <v>180.5</v>
      </c>
      <c r="AD353" s="21">
        <v>162.9</v>
      </c>
      <c r="AE353" s="21">
        <v>168.2</v>
      </c>
      <c r="AF353" s="21">
        <v>173.4</v>
      </c>
      <c r="AG353" s="21">
        <v>196.3</v>
      </c>
      <c r="AH353" s="21">
        <v>170.5</v>
      </c>
      <c r="AI353" s="21">
        <v>176.7</v>
      </c>
    </row>
    <row r="354" spans="1:35" x14ac:dyDescent="0.35">
      <c r="A354" s="21" t="s">
        <v>30</v>
      </c>
      <c r="B354" s="21">
        <v>2022</v>
      </c>
      <c r="C354" s="21" t="s">
        <v>45</v>
      </c>
      <c r="D354" s="17" t="str">
        <f t="shared" si="10"/>
        <v>November-2022</v>
      </c>
      <c r="E354" s="21">
        <v>166.9</v>
      </c>
      <c r="F354" s="21">
        <v>207.2</v>
      </c>
      <c r="G354" s="21">
        <v>180.2</v>
      </c>
      <c r="H354" s="21">
        <v>172.3</v>
      </c>
      <c r="I354" s="21">
        <v>194</v>
      </c>
      <c r="J354" s="21">
        <v>159.1</v>
      </c>
      <c r="K354" s="21">
        <v>171.6</v>
      </c>
      <c r="L354" s="21">
        <v>170.2</v>
      </c>
      <c r="M354" s="21">
        <v>121.5</v>
      </c>
      <c r="N354" s="21">
        <v>204.8</v>
      </c>
      <c r="O354" s="21">
        <v>176.4</v>
      </c>
      <c r="P354" s="21">
        <v>186.9</v>
      </c>
      <c r="Q354" s="21">
        <v>176.6</v>
      </c>
      <c r="R354" s="21">
        <v>2287.6999999999998</v>
      </c>
      <c r="S354" s="21">
        <v>187.2</v>
      </c>
      <c r="T354" s="21">
        <v>185.2</v>
      </c>
      <c r="U354" s="21">
        <v>186.9</v>
      </c>
      <c r="V354" s="21">
        <v>559.29999999999995</v>
      </c>
      <c r="W354" s="21">
        <v>171.8</v>
      </c>
      <c r="X354" s="21">
        <v>175.5</v>
      </c>
      <c r="Y354" s="21">
        <v>347.3</v>
      </c>
      <c r="Z354" s="21">
        <v>182.3</v>
      </c>
      <c r="AA354" s="21">
        <v>173.4</v>
      </c>
      <c r="AB354" s="21">
        <f t="shared" si="11"/>
        <v>355.70000000000005</v>
      </c>
      <c r="AC354" s="21">
        <v>181.9</v>
      </c>
      <c r="AD354" s="21">
        <v>167.5</v>
      </c>
      <c r="AE354" s="21">
        <v>170.8</v>
      </c>
      <c r="AF354" s="21">
        <v>176.9</v>
      </c>
      <c r="AG354" s="21">
        <v>195.5</v>
      </c>
      <c r="AH354" s="21">
        <v>174.6</v>
      </c>
      <c r="AI354" s="21">
        <v>177.8</v>
      </c>
    </row>
    <row r="355" spans="1:35" x14ac:dyDescent="0.35">
      <c r="A355" s="21" t="s">
        <v>33</v>
      </c>
      <c r="B355" s="21">
        <v>2022</v>
      </c>
      <c r="C355" s="21" t="s">
        <v>45</v>
      </c>
      <c r="D355" s="17" t="str">
        <f t="shared" si="10"/>
        <v>November-2022</v>
      </c>
      <c r="E355" s="21">
        <v>168.4</v>
      </c>
      <c r="F355" s="21">
        <v>213.4</v>
      </c>
      <c r="G355" s="21">
        <v>183.2</v>
      </c>
      <c r="H355" s="21">
        <v>172.3</v>
      </c>
      <c r="I355" s="21">
        <v>180</v>
      </c>
      <c r="J355" s="21">
        <v>162.6</v>
      </c>
      <c r="K355" s="21">
        <v>205.5</v>
      </c>
      <c r="L355" s="21">
        <v>171</v>
      </c>
      <c r="M355" s="21">
        <v>123.4</v>
      </c>
      <c r="N355" s="21">
        <v>198.8</v>
      </c>
      <c r="O355" s="21">
        <v>162.1</v>
      </c>
      <c r="P355" s="21">
        <v>192.4</v>
      </c>
      <c r="Q355" s="21">
        <v>181.3</v>
      </c>
      <c r="R355" s="21">
        <v>2314.4</v>
      </c>
      <c r="S355" s="21">
        <v>176.7</v>
      </c>
      <c r="T355" s="21">
        <v>163.5</v>
      </c>
      <c r="U355" s="21">
        <v>174.7</v>
      </c>
      <c r="V355" s="21">
        <v>514.9</v>
      </c>
      <c r="W355" s="21">
        <v>171.8</v>
      </c>
      <c r="X355" s="21">
        <v>166.9</v>
      </c>
      <c r="Y355" s="21">
        <v>338.70000000000005</v>
      </c>
      <c r="Z355" s="21">
        <v>175.8</v>
      </c>
      <c r="AA355" s="21">
        <v>173.8</v>
      </c>
      <c r="AB355" s="21">
        <f t="shared" si="11"/>
        <v>349.6</v>
      </c>
      <c r="AC355" s="21">
        <v>180.3</v>
      </c>
      <c r="AD355" s="21">
        <v>158.9</v>
      </c>
      <c r="AE355" s="21">
        <v>166.7</v>
      </c>
      <c r="AF355" s="21">
        <v>171.5</v>
      </c>
      <c r="AG355" s="21">
        <v>200.6</v>
      </c>
      <c r="AH355" s="21">
        <v>167.4</v>
      </c>
      <c r="AI355" s="21">
        <v>174.1</v>
      </c>
    </row>
    <row r="356" spans="1:35" x14ac:dyDescent="0.35">
      <c r="A356" s="21" t="s">
        <v>34</v>
      </c>
      <c r="B356" s="21">
        <v>2022</v>
      </c>
      <c r="C356" s="21" t="s">
        <v>45</v>
      </c>
      <c r="D356" s="17" t="str">
        <f t="shared" si="10"/>
        <v>November-2022</v>
      </c>
      <c r="E356" s="21">
        <v>167.4</v>
      </c>
      <c r="F356" s="21">
        <v>209.4</v>
      </c>
      <c r="G356" s="21">
        <v>181.4</v>
      </c>
      <c r="H356" s="21">
        <v>172.3</v>
      </c>
      <c r="I356" s="21">
        <v>188.9</v>
      </c>
      <c r="J356" s="21">
        <v>160.69999999999999</v>
      </c>
      <c r="K356" s="21">
        <v>183.1</v>
      </c>
      <c r="L356" s="21">
        <v>170.5</v>
      </c>
      <c r="M356" s="21">
        <v>122.1</v>
      </c>
      <c r="N356" s="21">
        <v>202.8</v>
      </c>
      <c r="O356" s="21">
        <v>170.4</v>
      </c>
      <c r="P356" s="21">
        <v>189.5</v>
      </c>
      <c r="Q356" s="21">
        <v>178.3</v>
      </c>
      <c r="R356" s="21">
        <v>2296.8000000000002</v>
      </c>
      <c r="S356" s="21">
        <v>183.1</v>
      </c>
      <c r="T356" s="21">
        <v>176.2</v>
      </c>
      <c r="U356" s="21">
        <v>182.1</v>
      </c>
      <c r="V356" s="21">
        <v>541.4</v>
      </c>
      <c r="W356" s="21">
        <v>171.8</v>
      </c>
      <c r="X356" s="21">
        <v>171.4</v>
      </c>
      <c r="Y356" s="21">
        <v>343.20000000000005</v>
      </c>
      <c r="Z356" s="21">
        <v>179.8</v>
      </c>
      <c r="AA356" s="21">
        <v>173.6</v>
      </c>
      <c r="AB356" s="21">
        <f t="shared" si="11"/>
        <v>353.4</v>
      </c>
      <c r="AC356" s="21">
        <v>181.3</v>
      </c>
      <c r="AD356" s="21">
        <v>163</v>
      </c>
      <c r="AE356" s="21">
        <v>168.5</v>
      </c>
      <c r="AF356" s="21">
        <v>173.7</v>
      </c>
      <c r="AG356" s="21">
        <v>196.9</v>
      </c>
      <c r="AH356" s="21">
        <v>171.1</v>
      </c>
      <c r="AI356" s="21">
        <v>176.5</v>
      </c>
    </row>
    <row r="357" spans="1:35" x14ac:dyDescent="0.35">
      <c r="A357" s="21" t="s">
        <v>30</v>
      </c>
      <c r="B357" s="21">
        <v>2022</v>
      </c>
      <c r="C357" s="21" t="s">
        <v>46</v>
      </c>
      <c r="D357" s="17" t="str">
        <f t="shared" si="10"/>
        <v>December-2022</v>
      </c>
      <c r="E357" s="21">
        <v>168.8</v>
      </c>
      <c r="F357" s="21">
        <v>206.9</v>
      </c>
      <c r="G357" s="21">
        <v>189.1</v>
      </c>
      <c r="H357" s="21">
        <v>173.4</v>
      </c>
      <c r="I357" s="21">
        <v>193.9</v>
      </c>
      <c r="J357" s="21">
        <v>156.69999999999999</v>
      </c>
      <c r="K357" s="21">
        <v>150.19999999999999</v>
      </c>
      <c r="L357" s="21">
        <v>170.5</v>
      </c>
      <c r="M357" s="21">
        <v>121.2</v>
      </c>
      <c r="N357" s="21">
        <v>207.5</v>
      </c>
      <c r="O357" s="21">
        <v>176.8</v>
      </c>
      <c r="P357" s="21">
        <v>187.7</v>
      </c>
      <c r="Q357" s="21">
        <v>174.4</v>
      </c>
      <c r="R357" s="21">
        <v>2277.1</v>
      </c>
      <c r="S357" s="21">
        <v>188.1</v>
      </c>
      <c r="T357" s="21">
        <v>185.9</v>
      </c>
      <c r="U357" s="21">
        <v>187.8</v>
      </c>
      <c r="V357" s="21">
        <v>561.79999999999995</v>
      </c>
      <c r="W357" s="21">
        <v>170.7</v>
      </c>
      <c r="X357" s="21">
        <v>176.4</v>
      </c>
      <c r="Y357" s="21">
        <v>347.1</v>
      </c>
      <c r="Z357" s="21">
        <v>183.5</v>
      </c>
      <c r="AA357" s="21">
        <v>175.7</v>
      </c>
      <c r="AB357" s="21">
        <f t="shared" si="11"/>
        <v>359.2</v>
      </c>
      <c r="AC357" s="21">
        <v>182.8</v>
      </c>
      <c r="AD357" s="21">
        <v>167.8</v>
      </c>
      <c r="AE357" s="21">
        <v>171.2</v>
      </c>
      <c r="AF357" s="21">
        <v>177.3</v>
      </c>
      <c r="AG357" s="21">
        <v>195.9</v>
      </c>
      <c r="AH357" s="21">
        <v>175.5</v>
      </c>
      <c r="AI357" s="21">
        <v>177.1</v>
      </c>
    </row>
    <row r="358" spans="1:35" x14ac:dyDescent="0.35">
      <c r="A358" s="21" t="s">
        <v>33</v>
      </c>
      <c r="B358" s="21">
        <v>2022</v>
      </c>
      <c r="C358" s="21" t="s">
        <v>46</v>
      </c>
      <c r="D358" s="17" t="str">
        <f t="shared" si="10"/>
        <v>December-2022</v>
      </c>
      <c r="E358" s="21">
        <v>170.2</v>
      </c>
      <c r="F358" s="21">
        <v>212.9</v>
      </c>
      <c r="G358" s="21">
        <v>191.9</v>
      </c>
      <c r="H358" s="21">
        <v>173.9</v>
      </c>
      <c r="I358" s="21">
        <v>179.1</v>
      </c>
      <c r="J358" s="21">
        <v>159.5</v>
      </c>
      <c r="K358" s="21">
        <v>178.7</v>
      </c>
      <c r="L358" s="21">
        <v>171.3</v>
      </c>
      <c r="M358" s="21">
        <v>123.1</v>
      </c>
      <c r="N358" s="21">
        <v>200.5</v>
      </c>
      <c r="O358" s="21">
        <v>162.80000000000001</v>
      </c>
      <c r="P358" s="21">
        <v>193.3</v>
      </c>
      <c r="Q358" s="21">
        <v>178.6</v>
      </c>
      <c r="R358" s="21">
        <v>2295.7999999999997</v>
      </c>
      <c r="S358" s="21">
        <v>177.7</v>
      </c>
      <c r="T358" s="21">
        <v>164.5</v>
      </c>
      <c r="U358" s="21">
        <v>175.7</v>
      </c>
      <c r="V358" s="21">
        <v>517.9</v>
      </c>
      <c r="W358" s="21">
        <v>170.7</v>
      </c>
      <c r="X358" s="21">
        <v>167.3</v>
      </c>
      <c r="Y358" s="21">
        <v>338</v>
      </c>
      <c r="Z358" s="21">
        <v>177.2</v>
      </c>
      <c r="AA358" s="21">
        <v>176</v>
      </c>
      <c r="AB358" s="21">
        <f t="shared" si="11"/>
        <v>353.2</v>
      </c>
      <c r="AC358" s="21">
        <v>180.6</v>
      </c>
      <c r="AD358" s="21">
        <v>159.4</v>
      </c>
      <c r="AE358" s="21">
        <v>167.1</v>
      </c>
      <c r="AF358" s="21">
        <v>171.8</v>
      </c>
      <c r="AG358" s="21">
        <v>201.1</v>
      </c>
      <c r="AH358" s="21">
        <v>168.2</v>
      </c>
      <c r="AI358" s="21">
        <v>174.1</v>
      </c>
    </row>
    <row r="359" spans="1:35" x14ac:dyDescent="0.35">
      <c r="A359" s="21" t="s">
        <v>34</v>
      </c>
      <c r="B359" s="21">
        <v>2022</v>
      </c>
      <c r="C359" s="21" t="s">
        <v>46</v>
      </c>
      <c r="D359" s="17" t="str">
        <f t="shared" si="10"/>
        <v>December-2022</v>
      </c>
      <c r="E359" s="21">
        <v>169.2</v>
      </c>
      <c r="F359" s="21">
        <v>209</v>
      </c>
      <c r="G359" s="21">
        <v>190.2</v>
      </c>
      <c r="H359" s="21">
        <v>173.6</v>
      </c>
      <c r="I359" s="21">
        <v>188.5</v>
      </c>
      <c r="J359" s="21">
        <v>158</v>
      </c>
      <c r="K359" s="21">
        <v>159.9</v>
      </c>
      <c r="L359" s="21">
        <v>170.8</v>
      </c>
      <c r="M359" s="21">
        <v>121.8</v>
      </c>
      <c r="N359" s="21">
        <v>205.2</v>
      </c>
      <c r="O359" s="21">
        <v>171</v>
      </c>
      <c r="P359" s="21">
        <v>190.3</v>
      </c>
      <c r="Q359" s="21">
        <v>175.9</v>
      </c>
      <c r="R359" s="21">
        <v>2283.4</v>
      </c>
      <c r="S359" s="21">
        <v>184</v>
      </c>
      <c r="T359" s="21">
        <v>177</v>
      </c>
      <c r="U359" s="21">
        <v>183</v>
      </c>
      <c r="V359" s="21">
        <v>544</v>
      </c>
      <c r="W359" s="21">
        <v>170.7</v>
      </c>
      <c r="X359" s="21">
        <v>172.1</v>
      </c>
      <c r="Y359" s="21">
        <v>342.79999999999995</v>
      </c>
      <c r="Z359" s="21">
        <v>181.1</v>
      </c>
      <c r="AA359" s="21">
        <v>175.8</v>
      </c>
      <c r="AB359" s="21">
        <f t="shared" si="11"/>
        <v>356.9</v>
      </c>
      <c r="AC359" s="21">
        <v>182</v>
      </c>
      <c r="AD359" s="21">
        <v>163.4</v>
      </c>
      <c r="AE359" s="21">
        <v>168.9</v>
      </c>
      <c r="AF359" s="21">
        <v>174.1</v>
      </c>
      <c r="AG359" s="21">
        <v>197.3</v>
      </c>
      <c r="AH359" s="21">
        <v>172</v>
      </c>
      <c r="AI359" s="21">
        <v>175.7</v>
      </c>
    </row>
    <row r="360" spans="1:35" x14ac:dyDescent="0.35">
      <c r="A360" s="21" t="s">
        <v>30</v>
      </c>
      <c r="B360" s="21">
        <v>2023</v>
      </c>
      <c r="C360" s="21" t="s">
        <v>31</v>
      </c>
      <c r="D360" s="17" t="str">
        <f t="shared" si="10"/>
        <v>January-2023</v>
      </c>
      <c r="E360" s="21">
        <v>174</v>
      </c>
      <c r="F360" s="21">
        <v>208.3</v>
      </c>
      <c r="G360" s="21">
        <v>192.9</v>
      </c>
      <c r="H360" s="21">
        <v>174.3</v>
      </c>
      <c r="I360" s="21">
        <v>192.6</v>
      </c>
      <c r="J360" s="21">
        <v>156.30000000000001</v>
      </c>
      <c r="K360" s="21">
        <v>142.9</v>
      </c>
      <c r="L360" s="21">
        <v>170.7</v>
      </c>
      <c r="M360" s="21">
        <v>120.3</v>
      </c>
      <c r="N360" s="21">
        <v>210.5</v>
      </c>
      <c r="O360" s="21">
        <v>176.9</v>
      </c>
      <c r="P360" s="21">
        <v>188.5</v>
      </c>
      <c r="Q360" s="21">
        <v>175</v>
      </c>
      <c r="R360" s="21">
        <v>2283.2000000000003</v>
      </c>
      <c r="S360" s="21">
        <v>189</v>
      </c>
      <c r="T360" s="21">
        <v>186.3</v>
      </c>
      <c r="U360" s="21">
        <v>188.6</v>
      </c>
      <c r="V360" s="21">
        <v>563.9</v>
      </c>
      <c r="W360" s="21">
        <v>172.1</v>
      </c>
      <c r="X360" s="21">
        <v>177.2</v>
      </c>
      <c r="Y360" s="21">
        <v>349.29999999999995</v>
      </c>
      <c r="Z360" s="21">
        <v>184.7</v>
      </c>
      <c r="AA360" s="21">
        <v>178.4</v>
      </c>
      <c r="AB360" s="21">
        <f t="shared" si="11"/>
        <v>363.1</v>
      </c>
      <c r="AC360" s="21">
        <v>183.2</v>
      </c>
      <c r="AD360" s="21">
        <v>168.2</v>
      </c>
      <c r="AE360" s="21">
        <v>171.8</v>
      </c>
      <c r="AF360" s="21">
        <v>177.8</v>
      </c>
      <c r="AG360" s="21">
        <v>196.9</v>
      </c>
      <c r="AH360" s="21">
        <v>176.5</v>
      </c>
      <c r="AI360" s="21">
        <v>177.8</v>
      </c>
    </row>
    <row r="361" spans="1:35" x14ac:dyDescent="0.35">
      <c r="A361" s="21" t="s">
        <v>33</v>
      </c>
      <c r="B361" s="21">
        <v>2023</v>
      </c>
      <c r="C361" s="21" t="s">
        <v>31</v>
      </c>
      <c r="D361" s="17" t="str">
        <f t="shared" si="10"/>
        <v>January-2023</v>
      </c>
      <c r="E361" s="21">
        <v>173.3</v>
      </c>
      <c r="F361" s="21">
        <v>215.2</v>
      </c>
      <c r="G361" s="21">
        <v>197</v>
      </c>
      <c r="H361" s="21">
        <v>175.2</v>
      </c>
      <c r="I361" s="21">
        <v>178</v>
      </c>
      <c r="J361" s="21">
        <v>160.5</v>
      </c>
      <c r="K361" s="21">
        <v>175.3</v>
      </c>
      <c r="L361" s="21">
        <v>171.2</v>
      </c>
      <c r="M361" s="21">
        <v>122.7</v>
      </c>
      <c r="N361" s="21">
        <v>204.3</v>
      </c>
      <c r="O361" s="21">
        <v>163.69999999999999</v>
      </c>
      <c r="P361" s="21">
        <v>194.3</v>
      </c>
      <c r="Q361" s="21">
        <v>179.5</v>
      </c>
      <c r="R361" s="21">
        <v>2310.2000000000003</v>
      </c>
      <c r="S361" s="21">
        <v>178.7</v>
      </c>
      <c r="T361" s="21">
        <v>165.3</v>
      </c>
      <c r="U361" s="21">
        <v>176.6</v>
      </c>
      <c r="V361" s="21">
        <v>520.6</v>
      </c>
      <c r="W361" s="21">
        <v>172.1</v>
      </c>
      <c r="X361" s="21">
        <v>168</v>
      </c>
      <c r="Y361" s="21">
        <v>340.1</v>
      </c>
      <c r="Z361" s="21">
        <v>178.5</v>
      </c>
      <c r="AA361" s="21">
        <v>178.8</v>
      </c>
      <c r="AB361" s="21">
        <f t="shared" si="11"/>
        <v>357.3</v>
      </c>
      <c r="AC361" s="21">
        <v>180.1</v>
      </c>
      <c r="AD361" s="21">
        <v>159.5</v>
      </c>
      <c r="AE361" s="21">
        <v>167.8</v>
      </c>
      <c r="AF361" s="21">
        <v>171.8</v>
      </c>
      <c r="AG361" s="21">
        <v>201.6</v>
      </c>
      <c r="AH361" s="21">
        <v>168.9</v>
      </c>
      <c r="AI361" s="21">
        <v>174.9</v>
      </c>
    </row>
    <row r="362" spans="1:35" x14ac:dyDescent="0.35">
      <c r="A362" s="21" t="s">
        <v>34</v>
      </c>
      <c r="B362" s="21">
        <v>2023</v>
      </c>
      <c r="C362" s="21" t="s">
        <v>31</v>
      </c>
      <c r="D362" s="17" t="str">
        <f t="shared" si="10"/>
        <v>January-2023</v>
      </c>
      <c r="E362" s="21">
        <v>173.8</v>
      </c>
      <c r="F362" s="21">
        <v>210.7</v>
      </c>
      <c r="G362" s="21">
        <v>194.5</v>
      </c>
      <c r="H362" s="21">
        <v>174.6</v>
      </c>
      <c r="I362" s="21">
        <v>187.2</v>
      </c>
      <c r="J362" s="21">
        <v>158.30000000000001</v>
      </c>
      <c r="K362" s="21">
        <v>153.9</v>
      </c>
      <c r="L362" s="21">
        <v>170.9</v>
      </c>
      <c r="M362" s="21">
        <v>121.1</v>
      </c>
      <c r="N362" s="21">
        <v>208.4</v>
      </c>
      <c r="O362" s="21">
        <v>171.4</v>
      </c>
      <c r="P362" s="21">
        <v>191.2</v>
      </c>
      <c r="Q362" s="21">
        <v>176.7</v>
      </c>
      <c r="R362" s="21">
        <v>2292.6999999999998</v>
      </c>
      <c r="S362" s="21">
        <v>184.9</v>
      </c>
      <c r="T362" s="21">
        <v>177.6</v>
      </c>
      <c r="U362" s="21">
        <v>183.8</v>
      </c>
      <c r="V362" s="21">
        <v>546.29999999999995</v>
      </c>
      <c r="W362" s="21">
        <v>172.1</v>
      </c>
      <c r="X362" s="21">
        <v>172.9</v>
      </c>
      <c r="Y362" s="21">
        <v>345</v>
      </c>
      <c r="Z362" s="21">
        <v>182.3</v>
      </c>
      <c r="AA362" s="21">
        <v>178.6</v>
      </c>
      <c r="AB362" s="21">
        <f t="shared" si="11"/>
        <v>360.9</v>
      </c>
      <c r="AC362" s="21">
        <v>182</v>
      </c>
      <c r="AD362" s="21">
        <v>163.6</v>
      </c>
      <c r="AE362" s="21">
        <v>169.5</v>
      </c>
      <c r="AF362" s="21">
        <v>174.3</v>
      </c>
      <c r="AG362" s="21">
        <v>198.2</v>
      </c>
      <c r="AH362" s="21">
        <v>172.8</v>
      </c>
      <c r="AI362" s="21">
        <v>176.5</v>
      </c>
    </row>
    <row r="363" spans="1:35" x14ac:dyDescent="0.35">
      <c r="A363" s="21" t="s">
        <v>30</v>
      </c>
      <c r="B363" s="21">
        <v>2023</v>
      </c>
      <c r="C363" s="21" t="s">
        <v>35</v>
      </c>
      <c r="D363" s="17" t="str">
        <f t="shared" si="10"/>
        <v>February-2023</v>
      </c>
      <c r="E363" s="21">
        <v>174.2</v>
      </c>
      <c r="F363" s="21">
        <v>205.2</v>
      </c>
      <c r="G363" s="21">
        <v>173.9</v>
      </c>
      <c r="H363" s="21">
        <v>177</v>
      </c>
      <c r="I363" s="21">
        <v>183.4</v>
      </c>
      <c r="J363" s="21">
        <v>167.2</v>
      </c>
      <c r="K363" s="21">
        <v>140.9</v>
      </c>
      <c r="L363" s="21">
        <v>170.4</v>
      </c>
      <c r="M363" s="21">
        <v>119.1</v>
      </c>
      <c r="N363" s="21">
        <v>212.1</v>
      </c>
      <c r="O363" s="21">
        <v>177.6</v>
      </c>
      <c r="P363" s="21">
        <v>189.9</v>
      </c>
      <c r="Q363" s="21">
        <v>174.8</v>
      </c>
      <c r="R363" s="21">
        <v>2265.6999999999998</v>
      </c>
      <c r="S363" s="21">
        <v>190</v>
      </c>
      <c r="T363" s="21">
        <v>187</v>
      </c>
      <c r="U363" s="21">
        <v>189.6</v>
      </c>
      <c r="V363" s="21">
        <v>566.6</v>
      </c>
      <c r="W363" s="21">
        <v>173.5</v>
      </c>
      <c r="X363" s="21">
        <v>178.6</v>
      </c>
      <c r="Y363" s="21">
        <v>352.1</v>
      </c>
      <c r="Z363" s="21">
        <v>186.6</v>
      </c>
      <c r="AA363" s="21">
        <v>180.7</v>
      </c>
      <c r="AB363" s="21">
        <f t="shared" si="11"/>
        <v>367.29999999999995</v>
      </c>
      <c r="AC363" s="21">
        <v>181.6</v>
      </c>
      <c r="AD363" s="21">
        <v>169</v>
      </c>
      <c r="AE363" s="21">
        <v>172.8</v>
      </c>
      <c r="AF363" s="21">
        <v>178.5</v>
      </c>
      <c r="AG363" s="21">
        <v>198.3</v>
      </c>
      <c r="AH363" s="21">
        <v>177.9</v>
      </c>
      <c r="AI363" s="21">
        <v>178</v>
      </c>
    </row>
    <row r="364" spans="1:35" x14ac:dyDescent="0.35">
      <c r="A364" s="21" t="s">
        <v>33</v>
      </c>
      <c r="B364" s="21">
        <v>2023</v>
      </c>
      <c r="C364" s="21" t="s">
        <v>35</v>
      </c>
      <c r="D364" s="17" t="str">
        <f t="shared" si="10"/>
        <v>February-2023</v>
      </c>
      <c r="E364" s="21">
        <v>174.7</v>
      </c>
      <c r="F364" s="21">
        <v>212.2</v>
      </c>
      <c r="G364" s="21">
        <v>177.2</v>
      </c>
      <c r="H364" s="21">
        <v>177.9</v>
      </c>
      <c r="I364" s="21">
        <v>172.2</v>
      </c>
      <c r="J364" s="21">
        <v>172.1</v>
      </c>
      <c r="K364" s="21">
        <v>175.8</v>
      </c>
      <c r="L364" s="21">
        <v>172.2</v>
      </c>
      <c r="M364" s="21">
        <v>121.9</v>
      </c>
      <c r="N364" s="21">
        <v>204.8</v>
      </c>
      <c r="O364" s="21">
        <v>164.9</v>
      </c>
      <c r="P364" s="21">
        <v>196.6</v>
      </c>
      <c r="Q364" s="21">
        <v>180.7</v>
      </c>
      <c r="R364" s="21">
        <v>2303.1999999999998</v>
      </c>
      <c r="S364" s="21">
        <v>180.3</v>
      </c>
      <c r="T364" s="21">
        <v>167</v>
      </c>
      <c r="U364" s="21">
        <v>178.2</v>
      </c>
      <c r="V364" s="21">
        <v>525.5</v>
      </c>
      <c r="W364" s="21">
        <v>173.5</v>
      </c>
      <c r="X364" s="21">
        <v>169.2</v>
      </c>
      <c r="Y364" s="21">
        <v>342.7</v>
      </c>
      <c r="Z364" s="21">
        <v>180.8</v>
      </c>
      <c r="AA364" s="21">
        <v>181.4</v>
      </c>
      <c r="AB364" s="21">
        <f t="shared" si="11"/>
        <v>362.20000000000005</v>
      </c>
      <c r="AC364" s="21">
        <v>182.8</v>
      </c>
      <c r="AD364" s="21">
        <v>159.80000000000001</v>
      </c>
      <c r="AE364" s="21">
        <v>168.4</v>
      </c>
      <c r="AF364" s="21">
        <v>172.5</v>
      </c>
      <c r="AG364" s="21">
        <v>202.7</v>
      </c>
      <c r="AH364" s="21">
        <v>170</v>
      </c>
      <c r="AI364" s="21">
        <v>176.3</v>
      </c>
    </row>
    <row r="365" spans="1:35" x14ac:dyDescent="0.35">
      <c r="A365" s="21" t="s">
        <v>34</v>
      </c>
      <c r="B365" s="21">
        <v>2023</v>
      </c>
      <c r="C365" s="21" t="s">
        <v>35</v>
      </c>
      <c r="D365" s="17" t="str">
        <f t="shared" si="10"/>
        <v>February-2023</v>
      </c>
      <c r="E365" s="21">
        <v>174.4</v>
      </c>
      <c r="F365" s="21">
        <v>207.7</v>
      </c>
      <c r="G365" s="21">
        <v>175.2</v>
      </c>
      <c r="H365" s="21">
        <v>177.3</v>
      </c>
      <c r="I365" s="21">
        <v>179.3</v>
      </c>
      <c r="J365" s="21">
        <v>169.5</v>
      </c>
      <c r="K365" s="21">
        <v>152.69999999999999</v>
      </c>
      <c r="L365" s="21">
        <v>171</v>
      </c>
      <c r="M365" s="21">
        <v>120</v>
      </c>
      <c r="N365" s="21">
        <v>209.7</v>
      </c>
      <c r="O365" s="21">
        <v>172.3</v>
      </c>
      <c r="P365" s="21">
        <v>193</v>
      </c>
      <c r="Q365" s="21">
        <v>177</v>
      </c>
      <c r="R365" s="21">
        <v>2279.1</v>
      </c>
      <c r="S365" s="21">
        <v>186.2</v>
      </c>
      <c r="T365" s="21">
        <v>178.7</v>
      </c>
      <c r="U365" s="21">
        <v>185.1</v>
      </c>
      <c r="V365" s="21">
        <v>550</v>
      </c>
      <c r="W365" s="21">
        <v>173.5</v>
      </c>
      <c r="X365" s="21">
        <v>174.2</v>
      </c>
      <c r="Y365" s="21">
        <v>347.7</v>
      </c>
      <c r="Z365" s="21">
        <v>184.4</v>
      </c>
      <c r="AA365" s="21">
        <v>181</v>
      </c>
      <c r="AB365" s="21">
        <f t="shared" si="11"/>
        <v>365.4</v>
      </c>
      <c r="AC365" s="21">
        <v>182.1</v>
      </c>
      <c r="AD365" s="21">
        <v>164.2</v>
      </c>
      <c r="AE365" s="21">
        <v>170.3</v>
      </c>
      <c r="AF365" s="21">
        <v>175</v>
      </c>
      <c r="AG365" s="21">
        <v>199.5</v>
      </c>
      <c r="AH365" s="21">
        <v>174.1</v>
      </c>
      <c r="AI365" s="21">
        <v>177.2</v>
      </c>
    </row>
    <row r="366" spans="1:35" x14ac:dyDescent="0.35">
      <c r="A366" s="21" t="s">
        <v>30</v>
      </c>
      <c r="B366" s="21">
        <v>2023</v>
      </c>
      <c r="C366" s="21" t="s">
        <v>36</v>
      </c>
      <c r="D366" s="17" t="str">
        <f t="shared" si="10"/>
        <v>March-2023</v>
      </c>
      <c r="E366" s="21">
        <v>174.3</v>
      </c>
      <c r="F366" s="21">
        <v>205.2</v>
      </c>
      <c r="G366" s="21">
        <v>173.9</v>
      </c>
      <c r="H366" s="21">
        <v>177</v>
      </c>
      <c r="I366" s="21">
        <v>183.3</v>
      </c>
      <c r="J366" s="21">
        <v>167.2</v>
      </c>
      <c r="K366" s="21">
        <v>140.9</v>
      </c>
      <c r="L366" s="21">
        <v>170.5</v>
      </c>
      <c r="M366" s="21">
        <v>119.1</v>
      </c>
      <c r="N366" s="21">
        <v>212.1</v>
      </c>
      <c r="O366" s="21">
        <v>177.6</v>
      </c>
      <c r="P366" s="21">
        <v>189.9</v>
      </c>
      <c r="Q366" s="21">
        <v>174.8</v>
      </c>
      <c r="R366" s="21">
        <v>2265.8000000000002</v>
      </c>
      <c r="S366" s="21">
        <v>190</v>
      </c>
      <c r="T366" s="21">
        <v>187</v>
      </c>
      <c r="U366" s="21">
        <v>189.6</v>
      </c>
      <c r="V366" s="21">
        <v>566.6</v>
      </c>
      <c r="W366" s="21">
        <v>173.5</v>
      </c>
      <c r="X366" s="21">
        <v>178.6</v>
      </c>
      <c r="Y366" s="21">
        <v>352.1</v>
      </c>
      <c r="Z366" s="21">
        <v>186.6</v>
      </c>
      <c r="AA366" s="21">
        <v>180.7</v>
      </c>
      <c r="AB366" s="21">
        <f t="shared" si="11"/>
        <v>367.29999999999995</v>
      </c>
      <c r="AC366" s="21">
        <v>181.4</v>
      </c>
      <c r="AD366" s="21">
        <v>169</v>
      </c>
      <c r="AE366" s="21">
        <v>172.8</v>
      </c>
      <c r="AF366" s="21">
        <v>178.5</v>
      </c>
      <c r="AG366" s="21">
        <v>198.4</v>
      </c>
      <c r="AH366" s="21">
        <v>177.9</v>
      </c>
      <c r="AI366" s="21">
        <v>178</v>
      </c>
    </row>
    <row r="367" spans="1:35" x14ac:dyDescent="0.35">
      <c r="A367" s="21" t="s">
        <v>33</v>
      </c>
      <c r="B367" s="21">
        <v>2023</v>
      </c>
      <c r="C367" s="21" t="s">
        <v>36</v>
      </c>
      <c r="D367" s="17" t="str">
        <f t="shared" si="10"/>
        <v>March-2023</v>
      </c>
      <c r="E367" s="21">
        <v>174.7</v>
      </c>
      <c r="F367" s="21">
        <v>212.2</v>
      </c>
      <c r="G367" s="21">
        <v>177.2</v>
      </c>
      <c r="H367" s="21">
        <v>177.9</v>
      </c>
      <c r="I367" s="21">
        <v>172.2</v>
      </c>
      <c r="J367" s="21">
        <v>172.1</v>
      </c>
      <c r="K367" s="21">
        <v>175.9</v>
      </c>
      <c r="L367" s="21">
        <v>172.2</v>
      </c>
      <c r="M367" s="21">
        <v>121.9</v>
      </c>
      <c r="N367" s="21">
        <v>204.8</v>
      </c>
      <c r="O367" s="21">
        <v>164.9</v>
      </c>
      <c r="P367" s="21">
        <v>196.6</v>
      </c>
      <c r="Q367" s="21">
        <v>180.8</v>
      </c>
      <c r="R367" s="21">
        <v>2303.4</v>
      </c>
      <c r="S367" s="21">
        <v>180.2</v>
      </c>
      <c r="T367" s="21">
        <v>167</v>
      </c>
      <c r="U367" s="21">
        <v>178.2</v>
      </c>
      <c r="V367" s="21">
        <v>525.4</v>
      </c>
      <c r="W367" s="21">
        <v>173.5</v>
      </c>
      <c r="X367" s="21">
        <v>169.2</v>
      </c>
      <c r="Y367" s="21">
        <v>342.7</v>
      </c>
      <c r="Z367" s="21">
        <v>180.8</v>
      </c>
      <c r="AA367" s="21">
        <v>181.5</v>
      </c>
      <c r="AB367" s="21">
        <f t="shared" si="11"/>
        <v>362.3</v>
      </c>
      <c r="AC367" s="21">
        <v>182.6</v>
      </c>
      <c r="AD367" s="21">
        <v>159.80000000000001</v>
      </c>
      <c r="AE367" s="21">
        <v>168.4</v>
      </c>
      <c r="AF367" s="21">
        <v>172.5</v>
      </c>
      <c r="AG367" s="21">
        <v>202.7</v>
      </c>
      <c r="AH367" s="21">
        <v>170</v>
      </c>
      <c r="AI367" s="21">
        <v>176.3</v>
      </c>
    </row>
    <row r="368" spans="1:35" x14ac:dyDescent="0.35">
      <c r="A368" s="21" t="s">
        <v>34</v>
      </c>
      <c r="B368" s="21">
        <v>2023</v>
      </c>
      <c r="C368" s="21" t="s">
        <v>36</v>
      </c>
      <c r="D368" s="17" t="str">
        <f t="shared" si="10"/>
        <v>March-2023</v>
      </c>
      <c r="E368" s="21">
        <v>174.4</v>
      </c>
      <c r="F368" s="21">
        <v>207.7</v>
      </c>
      <c r="G368" s="21">
        <v>175.2</v>
      </c>
      <c r="H368" s="21">
        <v>177.3</v>
      </c>
      <c r="I368" s="21">
        <v>179.2</v>
      </c>
      <c r="J368" s="21">
        <v>169.5</v>
      </c>
      <c r="K368" s="21">
        <v>152.80000000000001</v>
      </c>
      <c r="L368" s="21">
        <v>171.1</v>
      </c>
      <c r="M368" s="21">
        <v>120</v>
      </c>
      <c r="N368" s="21">
        <v>209.7</v>
      </c>
      <c r="O368" s="21">
        <v>172.3</v>
      </c>
      <c r="P368" s="21">
        <v>193</v>
      </c>
      <c r="Q368" s="21">
        <v>177</v>
      </c>
      <c r="R368" s="21">
        <v>2279.1999999999998</v>
      </c>
      <c r="S368" s="21">
        <v>186.1</v>
      </c>
      <c r="T368" s="21">
        <v>178.7</v>
      </c>
      <c r="U368" s="21">
        <v>185.1</v>
      </c>
      <c r="V368" s="21">
        <v>549.9</v>
      </c>
      <c r="W368" s="21">
        <v>173.5</v>
      </c>
      <c r="X368" s="21">
        <v>174.2</v>
      </c>
      <c r="Y368" s="21">
        <v>347.7</v>
      </c>
      <c r="Z368" s="21">
        <v>184.4</v>
      </c>
      <c r="AA368" s="21">
        <v>181</v>
      </c>
      <c r="AB368" s="21">
        <f t="shared" si="11"/>
        <v>365.4</v>
      </c>
      <c r="AC368" s="21">
        <v>181.9</v>
      </c>
      <c r="AD368" s="21">
        <v>164.2</v>
      </c>
      <c r="AE368" s="21">
        <v>170.3</v>
      </c>
      <c r="AF368" s="21">
        <v>175</v>
      </c>
      <c r="AG368" s="21">
        <v>199.5</v>
      </c>
      <c r="AH368" s="21">
        <v>174.1</v>
      </c>
      <c r="AI368" s="21">
        <v>177.2</v>
      </c>
    </row>
    <row r="369" spans="1:35" x14ac:dyDescent="0.35">
      <c r="A369" s="21" t="s">
        <v>30</v>
      </c>
      <c r="B369" s="21">
        <v>2023</v>
      </c>
      <c r="C369" s="21" t="s">
        <v>37</v>
      </c>
      <c r="D369" s="17" t="str">
        <f t="shared" si="10"/>
        <v>April-2023</v>
      </c>
      <c r="E369" s="21">
        <v>173.3</v>
      </c>
      <c r="F369" s="21">
        <v>206.9</v>
      </c>
      <c r="G369" s="21">
        <v>167.9</v>
      </c>
      <c r="H369" s="21">
        <v>178.2</v>
      </c>
      <c r="I369" s="21">
        <v>178.5</v>
      </c>
      <c r="J369" s="21">
        <v>173.7</v>
      </c>
      <c r="K369" s="21">
        <v>142.80000000000001</v>
      </c>
      <c r="L369" s="21">
        <v>172.8</v>
      </c>
      <c r="M369" s="21">
        <v>120.4</v>
      </c>
      <c r="N369" s="21">
        <v>215.5</v>
      </c>
      <c r="O369" s="21">
        <v>178.2</v>
      </c>
      <c r="P369" s="21">
        <v>190.5</v>
      </c>
      <c r="Q369" s="21">
        <v>175.5</v>
      </c>
      <c r="R369" s="21">
        <v>2274.1999999999998</v>
      </c>
      <c r="S369" s="21">
        <v>190.7</v>
      </c>
      <c r="T369" s="21">
        <v>187.3</v>
      </c>
      <c r="U369" s="21">
        <v>190.2</v>
      </c>
      <c r="V369" s="21">
        <v>568.20000000000005</v>
      </c>
      <c r="W369" s="21" t="s">
        <v>48</v>
      </c>
      <c r="X369" s="21">
        <v>179.1</v>
      </c>
      <c r="Y369" s="21">
        <v>179.1</v>
      </c>
      <c r="Z369" s="21">
        <v>187.2</v>
      </c>
      <c r="AA369" s="21">
        <v>183.8</v>
      </c>
      <c r="AB369" s="21">
        <f t="shared" si="11"/>
        <v>371</v>
      </c>
      <c r="AC369" s="21">
        <v>181.5</v>
      </c>
      <c r="AD369" s="21">
        <v>169.4</v>
      </c>
      <c r="AE369" s="21">
        <v>173.2</v>
      </c>
      <c r="AF369" s="21">
        <v>179.4</v>
      </c>
      <c r="AG369" s="21">
        <v>199.5</v>
      </c>
      <c r="AH369" s="21">
        <v>178.9</v>
      </c>
      <c r="AI369" s="21">
        <v>178.8</v>
      </c>
    </row>
    <row r="370" spans="1:35" x14ac:dyDescent="0.35">
      <c r="A370" s="21" t="s">
        <v>33</v>
      </c>
      <c r="B370" s="21">
        <v>2023</v>
      </c>
      <c r="C370" s="21" t="s">
        <v>37</v>
      </c>
      <c r="D370" s="17" t="str">
        <f t="shared" si="10"/>
        <v>April-2023</v>
      </c>
      <c r="E370" s="21">
        <v>174.8</v>
      </c>
      <c r="F370" s="21">
        <v>213.7</v>
      </c>
      <c r="G370" s="21">
        <v>172.4</v>
      </c>
      <c r="H370" s="21">
        <v>178.8</v>
      </c>
      <c r="I370" s="21">
        <v>168.7</v>
      </c>
      <c r="J370" s="21">
        <v>179.2</v>
      </c>
      <c r="K370" s="21">
        <v>179.9</v>
      </c>
      <c r="L370" s="21">
        <v>174.7</v>
      </c>
      <c r="M370" s="21">
        <v>123.1</v>
      </c>
      <c r="N370" s="21">
        <v>207.8</v>
      </c>
      <c r="O370" s="21">
        <v>165.5</v>
      </c>
      <c r="P370" s="21">
        <v>197</v>
      </c>
      <c r="Q370" s="21">
        <v>182.1</v>
      </c>
      <c r="R370" s="21">
        <v>2317.7000000000003</v>
      </c>
      <c r="S370" s="21">
        <v>181</v>
      </c>
      <c r="T370" s="21">
        <v>167.7</v>
      </c>
      <c r="U370" s="21">
        <v>178.9</v>
      </c>
      <c r="V370" s="21">
        <v>527.6</v>
      </c>
      <c r="W370" s="21">
        <v>175.2</v>
      </c>
      <c r="X370" s="21">
        <v>169.6</v>
      </c>
      <c r="Y370" s="21">
        <v>344.79999999999995</v>
      </c>
      <c r="Z370" s="21">
        <v>181.5</v>
      </c>
      <c r="AA370" s="21">
        <v>184.4</v>
      </c>
      <c r="AB370" s="21">
        <f t="shared" si="11"/>
        <v>365.9</v>
      </c>
      <c r="AC370" s="21">
        <v>182.1</v>
      </c>
      <c r="AD370" s="21">
        <v>160.1</v>
      </c>
      <c r="AE370" s="21">
        <v>168.8</v>
      </c>
      <c r="AF370" s="21">
        <v>174.2</v>
      </c>
      <c r="AG370" s="21">
        <v>203.5</v>
      </c>
      <c r="AH370" s="21">
        <v>170.9</v>
      </c>
      <c r="AI370" s="21">
        <v>177.4</v>
      </c>
    </row>
    <row r="371" spans="1:35" x14ac:dyDescent="0.35">
      <c r="A371" s="21" t="s">
        <v>34</v>
      </c>
      <c r="B371" s="21">
        <v>2023</v>
      </c>
      <c r="C371" s="21" t="s">
        <v>37</v>
      </c>
      <c r="D371" s="17" t="str">
        <f t="shared" si="10"/>
        <v>April-2023</v>
      </c>
      <c r="E371" s="21">
        <v>173.8</v>
      </c>
      <c r="F371" s="21">
        <v>209.3</v>
      </c>
      <c r="G371" s="21">
        <v>169.6</v>
      </c>
      <c r="H371" s="21">
        <v>178.4</v>
      </c>
      <c r="I371" s="21">
        <v>174.9</v>
      </c>
      <c r="J371" s="21">
        <v>176.3</v>
      </c>
      <c r="K371" s="21">
        <v>155.4</v>
      </c>
      <c r="L371" s="21">
        <v>173.4</v>
      </c>
      <c r="M371" s="21">
        <v>121.3</v>
      </c>
      <c r="N371" s="21">
        <v>212.9</v>
      </c>
      <c r="O371" s="21">
        <v>172.9</v>
      </c>
      <c r="P371" s="21">
        <v>193.5</v>
      </c>
      <c r="Q371" s="21">
        <v>177.9</v>
      </c>
      <c r="R371" s="21">
        <v>2289.6000000000004</v>
      </c>
      <c r="S371" s="21">
        <v>186.9</v>
      </c>
      <c r="T371" s="21">
        <v>179.2</v>
      </c>
      <c r="U371" s="21">
        <v>185.7</v>
      </c>
      <c r="V371" s="21">
        <v>551.79999999999995</v>
      </c>
      <c r="W371" s="21">
        <v>175.2</v>
      </c>
      <c r="X371" s="21">
        <v>174.6</v>
      </c>
      <c r="Y371" s="21">
        <v>349.79999999999995</v>
      </c>
      <c r="Z371" s="21">
        <v>185</v>
      </c>
      <c r="AA371" s="21">
        <v>184</v>
      </c>
      <c r="AB371" s="21">
        <f t="shared" si="11"/>
        <v>369</v>
      </c>
      <c r="AC371" s="21">
        <v>181.7</v>
      </c>
      <c r="AD371" s="21">
        <v>164.5</v>
      </c>
      <c r="AE371" s="21">
        <v>170.7</v>
      </c>
      <c r="AF371" s="21">
        <v>176.4</v>
      </c>
      <c r="AG371" s="21">
        <v>200.6</v>
      </c>
      <c r="AH371" s="21">
        <v>175</v>
      </c>
      <c r="AI371" s="21">
        <v>178.1</v>
      </c>
    </row>
    <row r="372" spans="1:35" x14ac:dyDescent="0.35">
      <c r="A372" s="21" t="s">
        <v>30</v>
      </c>
      <c r="B372" s="21">
        <v>2023</v>
      </c>
      <c r="C372" s="21" t="s">
        <v>38</v>
      </c>
      <c r="D372" s="17" t="str">
        <f t="shared" si="10"/>
        <v>May-2023</v>
      </c>
      <c r="E372" s="21">
        <v>173.2</v>
      </c>
      <c r="F372" s="21">
        <v>211.5</v>
      </c>
      <c r="G372" s="21">
        <v>171</v>
      </c>
      <c r="H372" s="21">
        <v>179.6</v>
      </c>
      <c r="I372" s="21">
        <v>173.3</v>
      </c>
      <c r="J372" s="21">
        <v>169</v>
      </c>
      <c r="K372" s="21">
        <v>148.69999999999999</v>
      </c>
      <c r="L372" s="21">
        <v>174.9</v>
      </c>
      <c r="M372" s="21">
        <v>121.9</v>
      </c>
      <c r="N372" s="21">
        <v>221</v>
      </c>
      <c r="O372" s="21">
        <v>178.7</v>
      </c>
      <c r="P372" s="21">
        <v>191.1</v>
      </c>
      <c r="Q372" s="21">
        <v>176.8</v>
      </c>
      <c r="R372" s="21">
        <v>2290.7000000000007</v>
      </c>
      <c r="S372" s="21">
        <v>191.2</v>
      </c>
      <c r="T372" s="21">
        <v>187.9</v>
      </c>
      <c r="U372" s="21">
        <v>190.8</v>
      </c>
      <c r="V372" s="21">
        <v>569.90000000000009</v>
      </c>
      <c r="W372" s="21" t="s">
        <v>48</v>
      </c>
      <c r="X372" s="21">
        <v>179.8</v>
      </c>
      <c r="Y372" s="21">
        <v>179.8</v>
      </c>
      <c r="Z372" s="21">
        <v>187.8</v>
      </c>
      <c r="AA372" s="21">
        <v>184.9</v>
      </c>
      <c r="AB372" s="21">
        <f t="shared" si="11"/>
        <v>372.70000000000005</v>
      </c>
      <c r="AC372" s="21">
        <v>182.5</v>
      </c>
      <c r="AD372" s="21">
        <v>169.7</v>
      </c>
      <c r="AE372" s="21">
        <v>173.8</v>
      </c>
      <c r="AF372" s="21">
        <v>180.3</v>
      </c>
      <c r="AG372" s="21">
        <v>199.9</v>
      </c>
      <c r="AH372" s="21">
        <v>179.5</v>
      </c>
      <c r="AI372" s="21">
        <v>179.8</v>
      </c>
    </row>
    <row r="373" spans="1:35" x14ac:dyDescent="0.35">
      <c r="A373" s="21" t="s">
        <v>33</v>
      </c>
      <c r="B373" s="21">
        <v>2023</v>
      </c>
      <c r="C373" s="21" t="s">
        <v>38</v>
      </c>
      <c r="D373" s="17" t="str">
        <f t="shared" si="10"/>
        <v>May-2023</v>
      </c>
      <c r="E373" s="21">
        <v>174.7</v>
      </c>
      <c r="F373" s="21">
        <v>219.4</v>
      </c>
      <c r="G373" s="21">
        <v>176.7</v>
      </c>
      <c r="H373" s="21">
        <v>179.4</v>
      </c>
      <c r="I373" s="21">
        <v>164.4</v>
      </c>
      <c r="J373" s="21">
        <v>175.8</v>
      </c>
      <c r="K373" s="21">
        <v>185</v>
      </c>
      <c r="L373" s="21">
        <v>176.9</v>
      </c>
      <c r="M373" s="21">
        <v>124.2</v>
      </c>
      <c r="N373" s="21">
        <v>211.9</v>
      </c>
      <c r="O373" s="21">
        <v>165.9</v>
      </c>
      <c r="P373" s="21">
        <v>197.7</v>
      </c>
      <c r="Q373" s="21">
        <v>183.1</v>
      </c>
      <c r="R373" s="21">
        <v>2335.1</v>
      </c>
      <c r="S373" s="21">
        <v>181.3</v>
      </c>
      <c r="T373" s="21">
        <v>168.1</v>
      </c>
      <c r="U373" s="21">
        <v>179.3</v>
      </c>
      <c r="V373" s="21">
        <v>528.70000000000005</v>
      </c>
      <c r="W373" s="21">
        <v>175.6</v>
      </c>
      <c r="X373" s="21">
        <v>170.1</v>
      </c>
      <c r="Y373" s="21">
        <v>345.7</v>
      </c>
      <c r="Z373" s="21">
        <v>182.2</v>
      </c>
      <c r="AA373" s="21">
        <v>185.6</v>
      </c>
      <c r="AB373" s="21">
        <f t="shared" si="11"/>
        <v>367.79999999999995</v>
      </c>
      <c r="AC373" s="21">
        <v>183.4</v>
      </c>
      <c r="AD373" s="21">
        <v>160.4</v>
      </c>
      <c r="AE373" s="21">
        <v>169.2</v>
      </c>
      <c r="AF373" s="21">
        <v>174.8</v>
      </c>
      <c r="AG373" s="21">
        <v>204.2</v>
      </c>
      <c r="AH373" s="21">
        <v>171.6</v>
      </c>
      <c r="AI373" s="21">
        <v>178.2</v>
      </c>
    </row>
    <row r="374" spans="1:35" x14ac:dyDescent="0.35">
      <c r="A374" s="21" t="s">
        <v>34</v>
      </c>
      <c r="B374" s="21">
        <v>2023</v>
      </c>
      <c r="C374" s="21" t="s">
        <v>38</v>
      </c>
      <c r="D374" s="17" t="str">
        <f t="shared" si="10"/>
        <v>May-2023</v>
      </c>
      <c r="E374" s="21">
        <v>173.7</v>
      </c>
      <c r="F374" s="21">
        <v>214.3</v>
      </c>
      <c r="G374" s="21">
        <v>173.2</v>
      </c>
      <c r="H374" s="21">
        <v>179.5</v>
      </c>
      <c r="I374" s="21">
        <v>170</v>
      </c>
      <c r="J374" s="21">
        <v>172.2</v>
      </c>
      <c r="K374" s="21">
        <v>161</v>
      </c>
      <c r="L374" s="21">
        <v>175.6</v>
      </c>
      <c r="M374" s="21">
        <v>122.7</v>
      </c>
      <c r="N374" s="21">
        <v>218</v>
      </c>
      <c r="O374" s="21">
        <v>173.4</v>
      </c>
      <c r="P374" s="21">
        <v>194.2</v>
      </c>
      <c r="Q374" s="21">
        <v>179.1</v>
      </c>
      <c r="R374" s="21">
        <v>2306.9</v>
      </c>
      <c r="S374" s="21">
        <v>187.3</v>
      </c>
      <c r="T374" s="21">
        <v>179.7</v>
      </c>
      <c r="U374" s="21">
        <v>186.2</v>
      </c>
      <c r="V374" s="21">
        <v>553.20000000000005</v>
      </c>
      <c r="W374" s="21">
        <v>175.6</v>
      </c>
      <c r="X374" s="21">
        <v>175.2</v>
      </c>
      <c r="Y374" s="21">
        <v>350.79999999999995</v>
      </c>
      <c r="Z374" s="21">
        <v>185.7</v>
      </c>
      <c r="AA374" s="21">
        <v>185.2</v>
      </c>
      <c r="AB374" s="21">
        <f t="shared" si="11"/>
        <v>370.9</v>
      </c>
      <c r="AC374" s="21">
        <v>182.8</v>
      </c>
      <c r="AD374" s="21">
        <v>164.8</v>
      </c>
      <c r="AE374" s="21">
        <v>171.2</v>
      </c>
      <c r="AF374" s="21">
        <v>177.1</v>
      </c>
      <c r="AG374" s="21">
        <v>201</v>
      </c>
      <c r="AH374" s="21">
        <v>175.7</v>
      </c>
      <c r="AI374" s="21">
        <v>179.1</v>
      </c>
    </row>
  </sheetData>
  <autoFilter ref="A2:AI374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4.5" x14ac:dyDescent="0.35"/>
  <cols>
    <col min="1" max="1" width="11.36328125" style="42" bestFit="1" customWidth="1"/>
    <col min="2" max="2" width="9" style="42" customWidth="1"/>
    <col min="3" max="3" width="10" style="42" bestFit="1" customWidth="1"/>
    <col min="4" max="4" width="14.7265625" style="42" customWidth="1"/>
    <col min="5" max="5" width="13.54296875" style="42" customWidth="1"/>
    <col min="6" max="6" width="9.6328125" style="43" customWidth="1"/>
    <col min="7" max="7" width="24.08984375" style="43" customWidth="1"/>
    <col min="8" max="8" width="10.08984375" style="43" customWidth="1"/>
    <col min="9" max="9" width="10.453125" style="43" customWidth="1"/>
    <col min="10" max="10" width="14" style="43" customWidth="1"/>
    <col min="11" max="11" width="28.1796875" style="43" customWidth="1"/>
    <col min="12" max="12" width="25.90625" style="4" customWidth="1"/>
    <col min="13" max="13" width="11.1796875" style="4" customWidth="1"/>
    <col min="14" max="14" width="26.90625" style="4" customWidth="1"/>
    <col min="15" max="15" width="14.6328125" style="4" customWidth="1"/>
    <col min="16" max="17" width="16" style="4" customWidth="1"/>
    <col min="18" max="16384" width="8.7265625" style="4"/>
  </cols>
  <sheetData>
    <row r="1" spans="1:17" x14ac:dyDescent="0.35">
      <c r="A1" s="119" t="s">
        <v>0</v>
      </c>
      <c r="B1" s="119" t="s">
        <v>1</v>
      </c>
      <c r="C1" s="119" t="s">
        <v>2</v>
      </c>
      <c r="D1" s="120" t="s">
        <v>58</v>
      </c>
      <c r="E1" s="120" t="s">
        <v>101</v>
      </c>
      <c r="F1" s="121" t="s">
        <v>49</v>
      </c>
      <c r="G1" s="121" t="s">
        <v>19</v>
      </c>
      <c r="H1" s="121" t="s">
        <v>20</v>
      </c>
      <c r="I1" s="121" t="s">
        <v>23</v>
      </c>
      <c r="J1" s="122" t="s">
        <v>21</v>
      </c>
      <c r="K1" s="122" t="s">
        <v>24</v>
      </c>
      <c r="L1" s="122" t="s">
        <v>25</v>
      </c>
      <c r="M1" s="122" t="s">
        <v>26</v>
      </c>
      <c r="N1" s="122" t="s">
        <v>16</v>
      </c>
      <c r="O1" s="122" t="s">
        <v>28</v>
      </c>
      <c r="P1" s="122" t="s">
        <v>29</v>
      </c>
      <c r="Q1" s="123" t="s">
        <v>51</v>
      </c>
    </row>
    <row r="2" spans="1:17" s="117" customFormat="1" x14ac:dyDescent="0.35">
      <c r="A2" s="124" t="s">
        <v>30</v>
      </c>
      <c r="B2" s="124">
        <v>2013</v>
      </c>
      <c r="C2" s="125" t="s">
        <v>31</v>
      </c>
      <c r="D2" s="124" t="str">
        <f t="shared" ref="D2:D65" si="0">CONCATENATE(C2,"-",B2)</f>
        <v>January-2013</v>
      </c>
      <c r="E2" s="124" t="s">
        <v>32</v>
      </c>
      <c r="F2" s="126">
        <v>1371.6999999999998</v>
      </c>
      <c r="G2" s="126">
        <v>318.70000000000005</v>
      </c>
      <c r="H2" s="126">
        <v>205.1</v>
      </c>
      <c r="I2" s="126">
        <v>208.7</v>
      </c>
      <c r="J2" s="126">
        <v>105.5</v>
      </c>
      <c r="K2" s="126">
        <v>103.3</v>
      </c>
      <c r="L2" s="126">
        <v>103.4</v>
      </c>
      <c r="M2" s="126">
        <v>103.8</v>
      </c>
      <c r="N2" s="126">
        <v>105.1</v>
      </c>
      <c r="O2" s="126">
        <v>104</v>
      </c>
      <c r="P2" s="126">
        <v>105.1</v>
      </c>
      <c r="Q2" s="126">
        <f>SUM(F2:O2)</f>
        <v>2729.3</v>
      </c>
    </row>
    <row r="3" spans="1:17" s="117" customFormat="1" x14ac:dyDescent="0.35">
      <c r="A3" s="124" t="s">
        <v>33</v>
      </c>
      <c r="B3" s="124">
        <v>2013</v>
      </c>
      <c r="C3" s="124" t="s">
        <v>31</v>
      </c>
      <c r="D3" s="124" t="str">
        <f t="shared" si="0"/>
        <v>January-2013</v>
      </c>
      <c r="E3" s="124" t="s">
        <v>32</v>
      </c>
      <c r="F3" s="126">
        <v>1376.4</v>
      </c>
      <c r="G3" s="126">
        <v>316.7</v>
      </c>
      <c r="H3" s="126">
        <v>205.1</v>
      </c>
      <c r="I3" s="126">
        <v>208.39999999999998</v>
      </c>
      <c r="J3" s="126">
        <v>105.4</v>
      </c>
      <c r="K3" s="126">
        <v>103.2</v>
      </c>
      <c r="L3" s="126">
        <v>102.9</v>
      </c>
      <c r="M3" s="126">
        <v>103.5</v>
      </c>
      <c r="N3" s="126">
        <v>105.2</v>
      </c>
      <c r="O3" s="126">
        <v>103.7</v>
      </c>
      <c r="P3" s="126">
        <v>104</v>
      </c>
      <c r="Q3" s="126">
        <f t="shared" ref="Q3:Q66" si="1">SUM(F3:O3)</f>
        <v>2730.4999999999995</v>
      </c>
    </row>
    <row r="4" spans="1:17" s="117" customFormat="1" x14ac:dyDescent="0.35">
      <c r="A4" s="124" t="s">
        <v>34</v>
      </c>
      <c r="B4" s="124">
        <v>2013</v>
      </c>
      <c r="C4" s="124" t="s">
        <v>31</v>
      </c>
      <c r="D4" s="124" t="str">
        <f t="shared" si="0"/>
        <v>January-2013</v>
      </c>
      <c r="E4" s="124" t="s">
        <v>32</v>
      </c>
      <c r="F4" s="126">
        <v>1373.3000000000002</v>
      </c>
      <c r="G4" s="126">
        <v>318</v>
      </c>
      <c r="H4" s="126">
        <v>205.1</v>
      </c>
      <c r="I4" s="126">
        <v>208.5</v>
      </c>
      <c r="J4" s="126">
        <v>105.5</v>
      </c>
      <c r="K4" s="126">
        <v>103.2</v>
      </c>
      <c r="L4" s="126">
        <v>103.1</v>
      </c>
      <c r="M4" s="126">
        <v>103.6</v>
      </c>
      <c r="N4" s="126">
        <v>105.1</v>
      </c>
      <c r="O4" s="126">
        <v>103.9</v>
      </c>
      <c r="P4" s="126">
        <v>104.6</v>
      </c>
      <c r="Q4" s="126">
        <f t="shared" si="1"/>
        <v>2729.2999999999997</v>
      </c>
    </row>
    <row r="5" spans="1:17" s="62" customFormat="1" x14ac:dyDescent="0.35">
      <c r="A5" s="127" t="s">
        <v>30</v>
      </c>
      <c r="B5" s="127">
        <v>2013</v>
      </c>
      <c r="C5" s="127" t="s">
        <v>35</v>
      </c>
      <c r="D5" s="127" t="str">
        <f t="shared" si="0"/>
        <v>February-2013</v>
      </c>
      <c r="E5" s="127" t="s">
        <v>32</v>
      </c>
      <c r="F5" s="128">
        <v>1380.3999999999999</v>
      </c>
      <c r="G5" s="128">
        <v>320.39999999999998</v>
      </c>
      <c r="H5" s="128">
        <v>205.60000000000002</v>
      </c>
      <c r="I5" s="128">
        <v>209</v>
      </c>
      <c r="J5" s="128">
        <v>106.2</v>
      </c>
      <c r="K5" s="128">
        <v>103.9</v>
      </c>
      <c r="L5" s="126">
        <v>104</v>
      </c>
      <c r="M5" s="126">
        <v>104.1</v>
      </c>
      <c r="N5" s="126">
        <v>105.6</v>
      </c>
      <c r="O5" s="126">
        <v>104.4</v>
      </c>
      <c r="P5" s="126">
        <v>105.8</v>
      </c>
      <c r="Q5" s="126">
        <f t="shared" si="1"/>
        <v>2743.5999999999995</v>
      </c>
    </row>
    <row r="6" spans="1:17" x14ac:dyDescent="0.35">
      <c r="A6" s="129" t="s">
        <v>33</v>
      </c>
      <c r="B6" s="129">
        <v>2013</v>
      </c>
      <c r="C6" s="129" t="s">
        <v>35</v>
      </c>
      <c r="D6" s="129" t="str">
        <f t="shared" si="0"/>
        <v>February-2013</v>
      </c>
      <c r="E6" s="129" t="s">
        <v>32</v>
      </c>
      <c r="F6" s="130">
        <v>1390.6000000000001</v>
      </c>
      <c r="G6" s="130">
        <v>318.5</v>
      </c>
      <c r="H6" s="130">
        <v>205.60000000000002</v>
      </c>
      <c r="I6" s="130">
        <v>209</v>
      </c>
      <c r="J6" s="130">
        <v>105.7</v>
      </c>
      <c r="K6" s="130">
        <v>104.4</v>
      </c>
      <c r="L6" s="131">
        <v>103.3</v>
      </c>
      <c r="M6" s="131">
        <v>103.7</v>
      </c>
      <c r="N6" s="131">
        <v>106</v>
      </c>
      <c r="O6" s="131">
        <v>104.3</v>
      </c>
      <c r="P6" s="131">
        <v>104.7</v>
      </c>
      <c r="Q6" s="131">
        <f t="shared" si="1"/>
        <v>2751.1000000000004</v>
      </c>
    </row>
    <row r="7" spans="1:17" x14ac:dyDescent="0.35">
      <c r="A7" s="129" t="s">
        <v>34</v>
      </c>
      <c r="B7" s="129">
        <v>2013</v>
      </c>
      <c r="C7" s="129" t="s">
        <v>35</v>
      </c>
      <c r="D7" s="129" t="str">
        <f t="shared" si="0"/>
        <v>February-2013</v>
      </c>
      <c r="E7" s="129" t="s">
        <v>32</v>
      </c>
      <c r="F7" s="130">
        <v>1384.2</v>
      </c>
      <c r="G7" s="130">
        <v>319.7</v>
      </c>
      <c r="H7" s="130">
        <v>205.60000000000002</v>
      </c>
      <c r="I7" s="130">
        <v>209</v>
      </c>
      <c r="J7" s="130">
        <v>106</v>
      </c>
      <c r="K7" s="130">
        <v>104.2</v>
      </c>
      <c r="L7" s="131">
        <v>103.6</v>
      </c>
      <c r="M7" s="131">
        <v>103.9</v>
      </c>
      <c r="N7" s="131">
        <v>105.7</v>
      </c>
      <c r="O7" s="131">
        <v>104.4</v>
      </c>
      <c r="P7" s="131">
        <v>105.3</v>
      </c>
      <c r="Q7" s="131">
        <f t="shared" si="1"/>
        <v>2746.2999999999997</v>
      </c>
    </row>
    <row r="8" spans="1:17" x14ac:dyDescent="0.35">
      <c r="A8" s="129" t="s">
        <v>30</v>
      </c>
      <c r="B8" s="129">
        <v>2013</v>
      </c>
      <c r="C8" s="129" t="s">
        <v>36</v>
      </c>
      <c r="D8" s="129" t="str">
        <f t="shared" si="0"/>
        <v>March-2013</v>
      </c>
      <c r="E8" s="129" t="s">
        <v>32</v>
      </c>
      <c r="F8" s="130">
        <v>1382.2</v>
      </c>
      <c r="G8" s="130">
        <v>321.89999999999998</v>
      </c>
      <c r="H8" s="130">
        <v>206</v>
      </c>
      <c r="I8" s="130">
        <v>209</v>
      </c>
      <c r="J8" s="130">
        <v>106.1</v>
      </c>
      <c r="K8" s="130">
        <v>104.6</v>
      </c>
      <c r="L8" s="131">
        <v>104</v>
      </c>
      <c r="M8" s="131">
        <v>104.3</v>
      </c>
      <c r="N8" s="131">
        <v>106.5</v>
      </c>
      <c r="O8" s="131">
        <v>104.6</v>
      </c>
      <c r="P8" s="131">
        <v>106</v>
      </c>
      <c r="Q8" s="131">
        <f t="shared" si="1"/>
        <v>2749.2</v>
      </c>
    </row>
    <row r="9" spans="1:17" x14ac:dyDescent="0.35">
      <c r="A9" s="129" t="s">
        <v>33</v>
      </c>
      <c r="B9" s="129">
        <v>2013</v>
      </c>
      <c r="C9" s="129" t="s">
        <v>36</v>
      </c>
      <c r="D9" s="129" t="str">
        <f t="shared" si="0"/>
        <v>March-2013</v>
      </c>
      <c r="E9" s="129" t="s">
        <v>32</v>
      </c>
      <c r="F9" s="130">
        <v>1386.8</v>
      </c>
      <c r="G9" s="130">
        <v>320.2</v>
      </c>
      <c r="H9" s="130">
        <v>206.10000000000002</v>
      </c>
      <c r="I9" s="130">
        <v>209.4</v>
      </c>
      <c r="J9" s="130">
        <v>106</v>
      </c>
      <c r="K9" s="130">
        <v>105.5</v>
      </c>
      <c r="L9" s="131">
        <v>103.5</v>
      </c>
      <c r="M9" s="131">
        <v>103.8</v>
      </c>
      <c r="N9" s="131">
        <v>106.8</v>
      </c>
      <c r="O9" s="131">
        <v>104.9</v>
      </c>
      <c r="P9" s="131">
        <v>105</v>
      </c>
      <c r="Q9" s="131">
        <f t="shared" si="1"/>
        <v>2753.0000000000005</v>
      </c>
    </row>
    <row r="10" spans="1:17" x14ac:dyDescent="0.35">
      <c r="A10" s="129" t="s">
        <v>34</v>
      </c>
      <c r="B10" s="129">
        <v>2013</v>
      </c>
      <c r="C10" s="129" t="s">
        <v>36</v>
      </c>
      <c r="D10" s="129" t="str">
        <f t="shared" si="0"/>
        <v>March-2013</v>
      </c>
      <c r="E10" s="129" t="s">
        <v>32</v>
      </c>
      <c r="F10" s="130">
        <v>1384.0000000000002</v>
      </c>
      <c r="G10" s="130">
        <v>321.2</v>
      </c>
      <c r="H10" s="130">
        <v>206</v>
      </c>
      <c r="I10" s="130">
        <v>209.2</v>
      </c>
      <c r="J10" s="130">
        <v>106.1</v>
      </c>
      <c r="K10" s="130">
        <v>105.1</v>
      </c>
      <c r="L10" s="131">
        <v>103.7</v>
      </c>
      <c r="M10" s="131">
        <v>104</v>
      </c>
      <c r="N10" s="131">
        <v>106.6</v>
      </c>
      <c r="O10" s="131">
        <v>104.7</v>
      </c>
      <c r="P10" s="131">
        <v>105.5</v>
      </c>
      <c r="Q10" s="131">
        <f t="shared" si="1"/>
        <v>2750.5999999999995</v>
      </c>
    </row>
    <row r="11" spans="1:17" x14ac:dyDescent="0.35">
      <c r="A11" s="129" t="s">
        <v>30</v>
      </c>
      <c r="B11" s="129">
        <v>2013</v>
      </c>
      <c r="C11" s="129" t="s">
        <v>37</v>
      </c>
      <c r="D11" s="129" t="str">
        <f t="shared" si="0"/>
        <v>April-2013</v>
      </c>
      <c r="E11" s="129" t="s">
        <v>32</v>
      </c>
      <c r="F11" s="130">
        <v>1385.8</v>
      </c>
      <c r="G11" s="130">
        <v>323.5</v>
      </c>
      <c r="H11" s="130">
        <v>206.6</v>
      </c>
      <c r="I11" s="130">
        <v>207.8</v>
      </c>
      <c r="J11" s="130">
        <v>106.5</v>
      </c>
      <c r="K11" s="130">
        <v>104.4</v>
      </c>
      <c r="L11" s="131">
        <v>104.5</v>
      </c>
      <c r="M11" s="131">
        <v>104.8</v>
      </c>
      <c r="N11" s="131">
        <v>107.1</v>
      </c>
      <c r="O11" s="131">
        <v>104.6</v>
      </c>
      <c r="P11" s="131">
        <v>106.4</v>
      </c>
      <c r="Q11" s="131">
        <f t="shared" si="1"/>
        <v>2755.6</v>
      </c>
    </row>
    <row r="12" spans="1:17" x14ac:dyDescent="0.35">
      <c r="A12" s="129" t="s">
        <v>33</v>
      </c>
      <c r="B12" s="129">
        <v>2013</v>
      </c>
      <c r="C12" s="129" t="s">
        <v>37</v>
      </c>
      <c r="D12" s="129" t="str">
        <f t="shared" si="0"/>
        <v>April-2013</v>
      </c>
      <c r="E12" s="129" t="s">
        <v>32</v>
      </c>
      <c r="F12" s="130">
        <v>1397.6999999999998</v>
      </c>
      <c r="G12" s="130">
        <v>322</v>
      </c>
      <c r="H12" s="130">
        <v>207</v>
      </c>
      <c r="I12" s="130">
        <v>208.9</v>
      </c>
      <c r="J12" s="130">
        <v>106.4</v>
      </c>
      <c r="K12" s="130">
        <v>105</v>
      </c>
      <c r="L12" s="131">
        <v>104</v>
      </c>
      <c r="M12" s="131">
        <v>105.2</v>
      </c>
      <c r="N12" s="131">
        <v>108.5</v>
      </c>
      <c r="O12" s="131">
        <v>105.1</v>
      </c>
      <c r="P12" s="131">
        <v>105.7</v>
      </c>
      <c r="Q12" s="131">
        <f t="shared" si="1"/>
        <v>2769.7999999999997</v>
      </c>
    </row>
    <row r="13" spans="1:17" x14ac:dyDescent="0.35">
      <c r="A13" s="129" t="s">
        <v>34</v>
      </c>
      <c r="B13" s="129">
        <v>2013</v>
      </c>
      <c r="C13" s="129" t="s">
        <v>37</v>
      </c>
      <c r="D13" s="129" t="str">
        <f t="shared" si="0"/>
        <v>April-2013</v>
      </c>
      <c r="E13" s="129" t="s">
        <v>32</v>
      </c>
      <c r="F13" s="130">
        <v>1390.2</v>
      </c>
      <c r="G13" s="130">
        <v>322.89999999999998</v>
      </c>
      <c r="H13" s="130">
        <v>206.8</v>
      </c>
      <c r="I13" s="130">
        <v>208.2</v>
      </c>
      <c r="J13" s="130">
        <v>106.5</v>
      </c>
      <c r="K13" s="130">
        <v>104.7</v>
      </c>
      <c r="L13" s="131">
        <v>104.2</v>
      </c>
      <c r="M13" s="131">
        <v>105</v>
      </c>
      <c r="N13" s="131">
        <v>107.5</v>
      </c>
      <c r="O13" s="131">
        <v>104.8</v>
      </c>
      <c r="P13" s="131">
        <v>106.1</v>
      </c>
      <c r="Q13" s="131">
        <f t="shared" si="1"/>
        <v>2760.7999999999997</v>
      </c>
    </row>
    <row r="14" spans="1:17" x14ac:dyDescent="0.35">
      <c r="A14" s="129" t="s">
        <v>30</v>
      </c>
      <c r="B14" s="129">
        <v>2013</v>
      </c>
      <c r="C14" s="129" t="s">
        <v>38</v>
      </c>
      <c r="D14" s="129" t="str">
        <f t="shared" si="0"/>
        <v>May-2013</v>
      </c>
      <c r="E14" s="129" t="s">
        <v>32</v>
      </c>
      <c r="F14" s="130">
        <v>1394</v>
      </c>
      <c r="G14" s="130">
        <v>325.29999999999995</v>
      </c>
      <c r="H14" s="130">
        <v>207.3</v>
      </c>
      <c r="I14" s="130">
        <v>207.8</v>
      </c>
      <c r="J14" s="130">
        <v>107.5</v>
      </c>
      <c r="K14" s="130">
        <v>104.1</v>
      </c>
      <c r="L14" s="131">
        <v>105</v>
      </c>
      <c r="M14" s="131">
        <v>105.5</v>
      </c>
      <c r="N14" s="131">
        <v>108.1</v>
      </c>
      <c r="O14" s="131">
        <v>104.8</v>
      </c>
      <c r="P14" s="131">
        <v>107.2</v>
      </c>
      <c r="Q14" s="131">
        <f t="shared" si="1"/>
        <v>2769.4</v>
      </c>
    </row>
    <row r="15" spans="1:17" x14ac:dyDescent="0.35">
      <c r="A15" s="129" t="s">
        <v>33</v>
      </c>
      <c r="B15" s="129">
        <v>2013</v>
      </c>
      <c r="C15" s="129" t="s">
        <v>38</v>
      </c>
      <c r="D15" s="129" t="str">
        <f t="shared" si="0"/>
        <v>May-2013</v>
      </c>
      <c r="E15" s="129" t="s">
        <v>32</v>
      </c>
      <c r="F15" s="130">
        <v>1417.1999999999998</v>
      </c>
      <c r="G15" s="130">
        <v>323.5</v>
      </c>
      <c r="H15" s="130">
        <v>207.6</v>
      </c>
      <c r="I15" s="130">
        <v>208.8</v>
      </c>
      <c r="J15" s="130">
        <v>107.2</v>
      </c>
      <c r="K15" s="130">
        <v>103.9</v>
      </c>
      <c r="L15" s="131">
        <v>104.6</v>
      </c>
      <c r="M15" s="131">
        <v>105.7</v>
      </c>
      <c r="N15" s="131">
        <v>109.8</v>
      </c>
      <c r="O15" s="131">
        <v>104.9</v>
      </c>
      <c r="P15" s="131">
        <v>106.6</v>
      </c>
      <c r="Q15" s="131">
        <f t="shared" si="1"/>
        <v>2793.2</v>
      </c>
    </row>
    <row r="16" spans="1:17" x14ac:dyDescent="0.35">
      <c r="A16" s="129" t="s">
        <v>34</v>
      </c>
      <c r="B16" s="129">
        <v>2013</v>
      </c>
      <c r="C16" s="129" t="s">
        <v>38</v>
      </c>
      <c r="D16" s="129" t="str">
        <f t="shared" si="0"/>
        <v>May-2013</v>
      </c>
      <c r="E16" s="129" t="s">
        <v>32</v>
      </c>
      <c r="F16" s="130">
        <v>1402.1999999999998</v>
      </c>
      <c r="G16" s="130">
        <v>324.60000000000002</v>
      </c>
      <c r="H16" s="130">
        <v>207.4</v>
      </c>
      <c r="I16" s="130">
        <v>208.2</v>
      </c>
      <c r="J16" s="130">
        <v>107.4</v>
      </c>
      <c r="K16" s="130">
        <v>104</v>
      </c>
      <c r="L16" s="131">
        <v>104.8</v>
      </c>
      <c r="M16" s="131">
        <v>105.6</v>
      </c>
      <c r="N16" s="131">
        <v>108.6</v>
      </c>
      <c r="O16" s="131">
        <v>104.8</v>
      </c>
      <c r="P16" s="131">
        <v>106.9</v>
      </c>
      <c r="Q16" s="131">
        <f t="shared" si="1"/>
        <v>2777.6</v>
      </c>
    </row>
    <row r="17" spans="1:17" x14ac:dyDescent="0.35">
      <c r="A17" s="129" t="s">
        <v>30</v>
      </c>
      <c r="B17" s="129">
        <v>2013</v>
      </c>
      <c r="C17" s="129" t="s">
        <v>39</v>
      </c>
      <c r="D17" s="129" t="str">
        <f t="shared" si="0"/>
        <v>June-2013</v>
      </c>
      <c r="E17" s="129" t="s">
        <v>32</v>
      </c>
      <c r="F17" s="130">
        <v>1420</v>
      </c>
      <c r="G17" s="130">
        <v>328</v>
      </c>
      <c r="H17" s="130">
        <v>214.1</v>
      </c>
      <c r="I17" s="130">
        <v>208.8</v>
      </c>
      <c r="J17" s="130">
        <v>108.5</v>
      </c>
      <c r="K17" s="130">
        <v>105</v>
      </c>
      <c r="L17" s="131">
        <v>105.6</v>
      </c>
      <c r="M17" s="131">
        <v>106.5</v>
      </c>
      <c r="N17" s="131">
        <v>109</v>
      </c>
      <c r="O17" s="131">
        <v>105.5</v>
      </c>
      <c r="P17" s="131">
        <v>108.9</v>
      </c>
      <c r="Q17" s="131">
        <f t="shared" si="1"/>
        <v>2811</v>
      </c>
    </row>
    <row r="18" spans="1:17" x14ac:dyDescent="0.35">
      <c r="A18" s="129" t="s">
        <v>33</v>
      </c>
      <c r="B18" s="129">
        <v>2013</v>
      </c>
      <c r="C18" s="129" t="s">
        <v>39</v>
      </c>
      <c r="D18" s="129" t="str">
        <f t="shared" si="0"/>
        <v>June-2013</v>
      </c>
      <c r="E18" s="129" t="s">
        <v>32</v>
      </c>
      <c r="F18" s="130">
        <v>1464.6000000000001</v>
      </c>
      <c r="G18" s="130">
        <v>325.3</v>
      </c>
      <c r="H18" s="130">
        <v>214.3</v>
      </c>
      <c r="I18" s="130">
        <v>209.8</v>
      </c>
      <c r="J18" s="130">
        <v>108</v>
      </c>
      <c r="K18" s="130">
        <v>105.2</v>
      </c>
      <c r="L18" s="131">
        <v>105.2</v>
      </c>
      <c r="M18" s="131">
        <v>108.1</v>
      </c>
      <c r="N18" s="131">
        <v>110.9</v>
      </c>
      <c r="O18" s="131">
        <v>106.1</v>
      </c>
      <c r="P18" s="131">
        <v>109.7</v>
      </c>
      <c r="Q18" s="131">
        <f t="shared" si="1"/>
        <v>2857.4999999999995</v>
      </c>
    </row>
    <row r="19" spans="1:17" x14ac:dyDescent="0.35">
      <c r="A19" s="129" t="s">
        <v>34</v>
      </c>
      <c r="B19" s="129">
        <v>2013</v>
      </c>
      <c r="C19" s="129" t="s">
        <v>39</v>
      </c>
      <c r="D19" s="129" t="str">
        <f t="shared" si="0"/>
        <v>June-2013</v>
      </c>
      <c r="E19" s="129" t="s">
        <v>32</v>
      </c>
      <c r="F19" s="130">
        <v>1436</v>
      </c>
      <c r="G19" s="130">
        <v>326.89999999999998</v>
      </c>
      <c r="H19" s="130">
        <v>214.2</v>
      </c>
      <c r="I19" s="130">
        <v>209.2</v>
      </c>
      <c r="J19" s="130">
        <v>108.3</v>
      </c>
      <c r="K19" s="130">
        <v>105.1</v>
      </c>
      <c r="L19" s="131">
        <v>105.4</v>
      </c>
      <c r="M19" s="131">
        <v>107.4</v>
      </c>
      <c r="N19" s="131">
        <v>109.5</v>
      </c>
      <c r="O19" s="131">
        <v>105.8</v>
      </c>
      <c r="P19" s="131">
        <v>109.3</v>
      </c>
      <c r="Q19" s="131">
        <f t="shared" si="1"/>
        <v>2827.8000000000006</v>
      </c>
    </row>
    <row r="20" spans="1:17" x14ac:dyDescent="0.35">
      <c r="A20" s="129" t="s">
        <v>30</v>
      </c>
      <c r="B20" s="129">
        <v>2013</v>
      </c>
      <c r="C20" s="129" t="s">
        <v>40</v>
      </c>
      <c r="D20" s="129" t="str">
        <f t="shared" si="0"/>
        <v>July-2013</v>
      </c>
      <c r="E20" s="129" t="s">
        <v>32</v>
      </c>
      <c r="F20" s="130">
        <v>1445.8999999999996</v>
      </c>
      <c r="G20" s="130">
        <v>330.3</v>
      </c>
      <c r="H20" s="130">
        <v>216</v>
      </c>
      <c r="I20" s="130">
        <v>209.4</v>
      </c>
      <c r="J20" s="130">
        <v>109.5</v>
      </c>
      <c r="K20" s="130">
        <v>106.8</v>
      </c>
      <c r="L20" s="131">
        <v>106.4</v>
      </c>
      <c r="M20" s="131">
        <v>107.8</v>
      </c>
      <c r="N20" s="131">
        <v>109.8</v>
      </c>
      <c r="O20" s="131">
        <v>106.5</v>
      </c>
      <c r="P20" s="131">
        <v>110.7</v>
      </c>
      <c r="Q20" s="131">
        <f t="shared" si="1"/>
        <v>2848.4</v>
      </c>
    </row>
    <row r="21" spans="1:17" x14ac:dyDescent="0.35">
      <c r="A21" s="129" t="s">
        <v>33</v>
      </c>
      <c r="B21" s="129">
        <v>2013</v>
      </c>
      <c r="C21" s="129" t="s">
        <v>40</v>
      </c>
      <c r="D21" s="129" t="str">
        <f t="shared" si="0"/>
        <v>July-2013</v>
      </c>
      <c r="E21" s="129" t="s">
        <v>32</v>
      </c>
      <c r="F21" s="130">
        <v>1489.4</v>
      </c>
      <c r="G21" s="130">
        <v>327.10000000000002</v>
      </c>
      <c r="H21" s="130">
        <v>215.8</v>
      </c>
      <c r="I21" s="130">
        <v>210.3</v>
      </c>
      <c r="J21" s="130">
        <v>108.6</v>
      </c>
      <c r="K21" s="130">
        <v>107.3</v>
      </c>
      <c r="L21" s="131">
        <v>105.9</v>
      </c>
      <c r="M21" s="131">
        <v>110.1</v>
      </c>
      <c r="N21" s="131">
        <v>111.7</v>
      </c>
      <c r="O21" s="131">
        <v>107.3</v>
      </c>
      <c r="P21" s="131">
        <v>111.4</v>
      </c>
      <c r="Q21" s="131">
        <f t="shared" si="1"/>
        <v>2893.5</v>
      </c>
    </row>
    <row r="22" spans="1:17" x14ac:dyDescent="0.35">
      <c r="A22" s="129" t="s">
        <v>34</v>
      </c>
      <c r="B22" s="129">
        <v>2013</v>
      </c>
      <c r="C22" s="129" t="s">
        <v>40</v>
      </c>
      <c r="D22" s="129" t="str">
        <f t="shared" si="0"/>
        <v>July-2013</v>
      </c>
      <c r="E22" s="129" t="s">
        <v>32</v>
      </c>
      <c r="F22" s="130">
        <v>1461.3999999999999</v>
      </c>
      <c r="G22" s="130">
        <v>329</v>
      </c>
      <c r="H22" s="130">
        <v>215.9</v>
      </c>
      <c r="I22" s="130">
        <v>209.8</v>
      </c>
      <c r="J22" s="130">
        <v>109.2</v>
      </c>
      <c r="K22" s="130">
        <v>107.1</v>
      </c>
      <c r="L22" s="131">
        <v>106.1</v>
      </c>
      <c r="M22" s="131">
        <v>109.1</v>
      </c>
      <c r="N22" s="131">
        <v>110.3</v>
      </c>
      <c r="O22" s="131">
        <v>106.9</v>
      </c>
      <c r="P22" s="131">
        <v>111</v>
      </c>
      <c r="Q22" s="131">
        <f t="shared" si="1"/>
        <v>2864.7999999999997</v>
      </c>
    </row>
    <row r="23" spans="1:17" x14ac:dyDescent="0.35">
      <c r="A23" s="129" t="s">
        <v>30</v>
      </c>
      <c r="B23" s="129">
        <v>2013</v>
      </c>
      <c r="C23" s="129" t="s">
        <v>41</v>
      </c>
      <c r="D23" s="129" t="str">
        <f t="shared" si="0"/>
        <v>August-2013</v>
      </c>
      <c r="E23" s="129" t="s">
        <v>32</v>
      </c>
      <c r="F23" s="130">
        <v>1462.5</v>
      </c>
      <c r="G23" s="130">
        <v>332.6</v>
      </c>
      <c r="H23" s="130">
        <v>217.60000000000002</v>
      </c>
      <c r="I23" s="130">
        <v>212.5</v>
      </c>
      <c r="J23" s="130">
        <v>109.9</v>
      </c>
      <c r="K23" s="130">
        <v>107.8</v>
      </c>
      <c r="L23" s="131">
        <v>106.8</v>
      </c>
      <c r="M23" s="131">
        <v>108.7</v>
      </c>
      <c r="N23" s="131">
        <v>110.7</v>
      </c>
      <c r="O23" s="131">
        <v>107.5</v>
      </c>
      <c r="P23" s="131">
        <v>112.1</v>
      </c>
      <c r="Q23" s="131">
        <f t="shared" si="1"/>
        <v>2876.6</v>
      </c>
    </row>
    <row r="24" spans="1:17" x14ac:dyDescent="0.35">
      <c r="A24" s="129" t="s">
        <v>33</v>
      </c>
      <c r="B24" s="129">
        <v>2013</v>
      </c>
      <c r="C24" s="129" t="s">
        <v>41</v>
      </c>
      <c r="D24" s="129" t="str">
        <f t="shared" si="0"/>
        <v>August-2013</v>
      </c>
      <c r="E24" s="129" t="s">
        <v>32</v>
      </c>
      <c r="F24" s="130">
        <v>1506.1000000000001</v>
      </c>
      <c r="G24" s="130">
        <v>329.09999999999997</v>
      </c>
      <c r="H24" s="130">
        <v>217.60000000000002</v>
      </c>
      <c r="I24" s="130">
        <v>213.6</v>
      </c>
      <c r="J24" s="130">
        <v>109.3</v>
      </c>
      <c r="K24" s="130">
        <v>108.1</v>
      </c>
      <c r="L24" s="131">
        <v>106.5</v>
      </c>
      <c r="M24" s="131">
        <v>110.8</v>
      </c>
      <c r="N24" s="131">
        <v>112.4</v>
      </c>
      <c r="O24" s="131">
        <v>108.3</v>
      </c>
      <c r="P24" s="131">
        <v>112.7</v>
      </c>
      <c r="Q24" s="131">
        <f t="shared" si="1"/>
        <v>2921.8000000000006</v>
      </c>
    </row>
    <row r="25" spans="1:17" x14ac:dyDescent="0.35">
      <c r="A25" s="129" t="s">
        <v>34</v>
      </c>
      <c r="B25" s="129">
        <v>2013</v>
      </c>
      <c r="C25" s="129" t="s">
        <v>41</v>
      </c>
      <c r="D25" s="129" t="str">
        <f t="shared" si="0"/>
        <v>August-2013</v>
      </c>
      <c r="E25" s="129" t="s">
        <v>32</v>
      </c>
      <c r="F25" s="130">
        <v>1477.4</v>
      </c>
      <c r="G25" s="130">
        <v>331.1</v>
      </c>
      <c r="H25" s="130">
        <v>217.60000000000002</v>
      </c>
      <c r="I25" s="130">
        <v>212.9</v>
      </c>
      <c r="J25" s="130">
        <v>109.7</v>
      </c>
      <c r="K25" s="130">
        <v>108</v>
      </c>
      <c r="L25" s="131">
        <v>106.6</v>
      </c>
      <c r="M25" s="131">
        <v>109.9</v>
      </c>
      <c r="N25" s="131">
        <v>111.2</v>
      </c>
      <c r="O25" s="131">
        <v>107.9</v>
      </c>
      <c r="P25" s="131">
        <v>112.4</v>
      </c>
      <c r="Q25" s="131">
        <f t="shared" si="1"/>
        <v>2892.2999999999997</v>
      </c>
    </row>
    <row r="26" spans="1:17" x14ac:dyDescent="0.35">
      <c r="A26" s="129" t="s">
        <v>30</v>
      </c>
      <c r="B26" s="129">
        <v>2013</v>
      </c>
      <c r="C26" s="129" t="s">
        <v>42</v>
      </c>
      <c r="D26" s="129" t="str">
        <f t="shared" si="0"/>
        <v>September-2013</v>
      </c>
      <c r="E26" s="129" t="s">
        <v>32</v>
      </c>
      <c r="F26" s="130">
        <v>1488.5000000000002</v>
      </c>
      <c r="G26" s="130">
        <v>336.6</v>
      </c>
      <c r="H26" s="130">
        <v>219.3</v>
      </c>
      <c r="I26" s="130">
        <v>215</v>
      </c>
      <c r="J26" s="130">
        <v>111.1</v>
      </c>
      <c r="K26" s="130">
        <v>109.3</v>
      </c>
      <c r="L26" s="131">
        <v>107.7</v>
      </c>
      <c r="M26" s="131">
        <v>109.8</v>
      </c>
      <c r="N26" s="131">
        <v>111.7</v>
      </c>
      <c r="O26" s="131">
        <v>108.7</v>
      </c>
      <c r="P26" s="131">
        <v>114.2</v>
      </c>
      <c r="Q26" s="131">
        <f t="shared" si="1"/>
        <v>2917.7000000000003</v>
      </c>
    </row>
    <row r="27" spans="1:17" x14ac:dyDescent="0.35">
      <c r="A27" s="129" t="s">
        <v>33</v>
      </c>
      <c r="B27" s="129">
        <v>2013</v>
      </c>
      <c r="C27" s="129" t="s">
        <v>42</v>
      </c>
      <c r="D27" s="129" t="str">
        <f t="shared" si="0"/>
        <v>September-2013</v>
      </c>
      <c r="E27" s="129" t="s">
        <v>32</v>
      </c>
      <c r="F27" s="130">
        <v>1500.4</v>
      </c>
      <c r="G27" s="130">
        <v>331.5</v>
      </c>
      <c r="H27" s="130">
        <v>219.3</v>
      </c>
      <c r="I27" s="130">
        <v>214.8</v>
      </c>
      <c r="J27" s="130">
        <v>109.5</v>
      </c>
      <c r="K27" s="130">
        <v>110.4</v>
      </c>
      <c r="L27" s="131">
        <v>107.4</v>
      </c>
      <c r="M27" s="131">
        <v>111.2</v>
      </c>
      <c r="N27" s="131">
        <v>112.9</v>
      </c>
      <c r="O27" s="131">
        <v>109.4</v>
      </c>
      <c r="P27" s="131">
        <v>113.2</v>
      </c>
      <c r="Q27" s="131">
        <f t="shared" si="1"/>
        <v>2926.8000000000006</v>
      </c>
    </row>
    <row r="28" spans="1:17" x14ac:dyDescent="0.35">
      <c r="A28" s="129" t="s">
        <v>34</v>
      </c>
      <c r="B28" s="129">
        <v>2013</v>
      </c>
      <c r="C28" s="129" t="s">
        <v>42</v>
      </c>
      <c r="D28" s="129" t="str">
        <f t="shared" si="0"/>
        <v>September-2013</v>
      </c>
      <c r="E28" s="129" t="s">
        <v>32</v>
      </c>
      <c r="F28" s="130">
        <v>1491.6999999999998</v>
      </c>
      <c r="G28" s="130">
        <v>334.5</v>
      </c>
      <c r="H28" s="130">
        <v>219.3</v>
      </c>
      <c r="I28" s="130">
        <v>214.89999999999998</v>
      </c>
      <c r="J28" s="130">
        <v>110.5</v>
      </c>
      <c r="K28" s="130">
        <v>109.9</v>
      </c>
      <c r="L28" s="131">
        <v>107.5</v>
      </c>
      <c r="M28" s="131">
        <v>110.6</v>
      </c>
      <c r="N28" s="131">
        <v>112</v>
      </c>
      <c r="O28" s="131">
        <v>109</v>
      </c>
      <c r="P28" s="131">
        <v>113.7</v>
      </c>
      <c r="Q28" s="131">
        <f t="shared" si="1"/>
        <v>2919.8999999999996</v>
      </c>
    </row>
    <row r="29" spans="1:17" x14ac:dyDescent="0.35">
      <c r="A29" s="129" t="s">
        <v>30</v>
      </c>
      <c r="B29" s="129">
        <v>2013</v>
      </c>
      <c r="C29" s="129" t="s">
        <v>43</v>
      </c>
      <c r="D29" s="129" t="str">
        <f t="shared" si="0"/>
        <v>October-2013</v>
      </c>
      <c r="E29" s="129" t="s">
        <v>32</v>
      </c>
      <c r="F29" s="130">
        <v>1508</v>
      </c>
      <c r="G29" s="130">
        <v>339.29999999999995</v>
      </c>
      <c r="H29" s="130">
        <v>220.9</v>
      </c>
      <c r="I29" s="130">
        <v>216.4</v>
      </c>
      <c r="J29" s="130">
        <v>111.6</v>
      </c>
      <c r="K29" s="130">
        <v>109.3</v>
      </c>
      <c r="L29" s="131">
        <v>108.3</v>
      </c>
      <c r="M29" s="131">
        <v>110.2</v>
      </c>
      <c r="N29" s="131">
        <v>112.2</v>
      </c>
      <c r="O29" s="131">
        <v>109.1</v>
      </c>
      <c r="P29" s="131">
        <v>115.5</v>
      </c>
      <c r="Q29" s="131">
        <f t="shared" si="1"/>
        <v>2945.2999999999997</v>
      </c>
    </row>
    <row r="30" spans="1:17" x14ac:dyDescent="0.35">
      <c r="A30" s="129" t="s">
        <v>33</v>
      </c>
      <c r="B30" s="129">
        <v>2013</v>
      </c>
      <c r="C30" s="129" t="s">
        <v>43</v>
      </c>
      <c r="D30" s="129" t="str">
        <f t="shared" si="0"/>
        <v>October-2013</v>
      </c>
      <c r="E30" s="129" t="s">
        <v>32</v>
      </c>
      <c r="F30" s="130">
        <v>1517.1999999999998</v>
      </c>
      <c r="G30" s="130">
        <v>334.2</v>
      </c>
      <c r="H30" s="130">
        <v>220.7</v>
      </c>
      <c r="I30" s="130">
        <v>215.5</v>
      </c>
      <c r="J30" s="130">
        <v>109.7</v>
      </c>
      <c r="K30" s="130">
        <v>109.7</v>
      </c>
      <c r="L30" s="131">
        <v>108</v>
      </c>
      <c r="M30" s="131">
        <v>111.3</v>
      </c>
      <c r="N30" s="131">
        <v>113.5</v>
      </c>
      <c r="O30" s="131">
        <v>109.4</v>
      </c>
      <c r="P30" s="131">
        <v>114</v>
      </c>
      <c r="Q30" s="131">
        <f t="shared" si="1"/>
        <v>2949.2</v>
      </c>
    </row>
    <row r="31" spans="1:17" x14ac:dyDescent="0.35">
      <c r="A31" s="129" t="s">
        <v>34</v>
      </c>
      <c r="B31" s="129">
        <v>2013</v>
      </c>
      <c r="C31" s="129" t="s">
        <v>43</v>
      </c>
      <c r="D31" s="129" t="str">
        <f t="shared" si="0"/>
        <v>October-2013</v>
      </c>
      <c r="E31" s="129" t="s">
        <v>32</v>
      </c>
      <c r="F31" s="130">
        <v>1510.2000000000003</v>
      </c>
      <c r="G31" s="130">
        <v>337.2</v>
      </c>
      <c r="H31" s="130">
        <v>220.8</v>
      </c>
      <c r="I31" s="130">
        <v>216</v>
      </c>
      <c r="J31" s="130">
        <v>110.9</v>
      </c>
      <c r="K31" s="130">
        <v>109.5</v>
      </c>
      <c r="L31" s="131">
        <v>108.1</v>
      </c>
      <c r="M31" s="131">
        <v>110.8</v>
      </c>
      <c r="N31" s="131">
        <v>112.5</v>
      </c>
      <c r="O31" s="131">
        <v>109.2</v>
      </c>
      <c r="P31" s="131">
        <v>114.8</v>
      </c>
      <c r="Q31" s="131">
        <f t="shared" si="1"/>
        <v>2945.2000000000003</v>
      </c>
    </row>
    <row r="32" spans="1:17" x14ac:dyDescent="0.35">
      <c r="A32" s="129" t="s">
        <v>30</v>
      </c>
      <c r="B32" s="129">
        <v>2013</v>
      </c>
      <c r="C32" s="129" t="s">
        <v>44</v>
      </c>
      <c r="D32" s="129" t="str">
        <f t="shared" si="0"/>
        <v>November -2013</v>
      </c>
      <c r="E32" s="129" t="s">
        <v>32</v>
      </c>
      <c r="F32" s="130">
        <v>1536.8</v>
      </c>
      <c r="G32" s="130">
        <v>342.1</v>
      </c>
      <c r="H32" s="130">
        <v>222.39999999999998</v>
      </c>
      <c r="I32" s="130">
        <v>217.9</v>
      </c>
      <c r="J32" s="130">
        <v>112.6</v>
      </c>
      <c r="K32" s="130">
        <v>109.6</v>
      </c>
      <c r="L32" s="131">
        <v>108.7</v>
      </c>
      <c r="M32" s="131">
        <v>111</v>
      </c>
      <c r="N32" s="131">
        <v>112.8</v>
      </c>
      <c r="O32" s="131">
        <v>109.8</v>
      </c>
      <c r="P32" s="131">
        <v>117.4</v>
      </c>
      <c r="Q32" s="131">
        <f t="shared" si="1"/>
        <v>2983.7000000000003</v>
      </c>
    </row>
    <row r="33" spans="1:17" x14ac:dyDescent="0.35">
      <c r="A33" s="129" t="s">
        <v>33</v>
      </c>
      <c r="B33" s="129">
        <v>2013</v>
      </c>
      <c r="C33" s="129" t="s">
        <v>45</v>
      </c>
      <c r="D33" s="129" t="str">
        <f t="shared" si="0"/>
        <v>November-2013</v>
      </c>
      <c r="E33" s="129" t="s">
        <v>32</v>
      </c>
      <c r="F33" s="130">
        <v>1544.6</v>
      </c>
      <c r="G33" s="130">
        <v>336.8</v>
      </c>
      <c r="H33" s="130">
        <v>222</v>
      </c>
      <c r="I33" s="130">
        <v>216.5</v>
      </c>
      <c r="J33" s="130">
        <v>110</v>
      </c>
      <c r="K33" s="130">
        <v>109.5</v>
      </c>
      <c r="L33" s="131">
        <v>108.5</v>
      </c>
      <c r="M33" s="131">
        <v>111.3</v>
      </c>
      <c r="N33" s="131">
        <v>114.1</v>
      </c>
      <c r="O33" s="131">
        <v>109.6</v>
      </c>
      <c r="P33" s="131">
        <v>115</v>
      </c>
      <c r="Q33" s="131">
        <f t="shared" si="1"/>
        <v>2982.8999999999996</v>
      </c>
    </row>
    <row r="34" spans="1:17" x14ac:dyDescent="0.35">
      <c r="A34" s="129" t="s">
        <v>34</v>
      </c>
      <c r="B34" s="129">
        <v>2013</v>
      </c>
      <c r="C34" s="129" t="s">
        <v>45</v>
      </c>
      <c r="D34" s="129" t="str">
        <f t="shared" si="0"/>
        <v>November-2013</v>
      </c>
      <c r="E34" s="129" t="s">
        <v>32</v>
      </c>
      <c r="F34" s="130">
        <v>1538.8</v>
      </c>
      <c r="G34" s="130">
        <v>339.90000000000003</v>
      </c>
      <c r="H34" s="130">
        <v>222.2</v>
      </c>
      <c r="I34" s="130">
        <v>217.39999999999998</v>
      </c>
      <c r="J34" s="130">
        <v>111.6</v>
      </c>
      <c r="K34" s="130">
        <v>109.5</v>
      </c>
      <c r="L34" s="131">
        <v>108.6</v>
      </c>
      <c r="M34" s="131">
        <v>111.2</v>
      </c>
      <c r="N34" s="131">
        <v>113.1</v>
      </c>
      <c r="O34" s="131">
        <v>109.7</v>
      </c>
      <c r="P34" s="131">
        <v>116.3</v>
      </c>
      <c r="Q34" s="131">
        <f t="shared" si="1"/>
        <v>2981.9999999999995</v>
      </c>
    </row>
    <row r="35" spans="1:17" x14ac:dyDescent="0.35">
      <c r="A35" s="129" t="s">
        <v>30</v>
      </c>
      <c r="B35" s="129">
        <v>2013</v>
      </c>
      <c r="C35" s="129" t="s">
        <v>46</v>
      </c>
      <c r="D35" s="129" t="str">
        <f t="shared" si="0"/>
        <v>December-2013</v>
      </c>
      <c r="E35" s="129" t="s">
        <v>32</v>
      </c>
      <c r="F35" s="130">
        <v>1509</v>
      </c>
      <c r="G35" s="130">
        <v>345.3</v>
      </c>
      <c r="H35" s="130">
        <v>222.8</v>
      </c>
      <c r="I35" s="130">
        <v>218.2</v>
      </c>
      <c r="J35" s="130">
        <v>112.8</v>
      </c>
      <c r="K35" s="130">
        <v>109.9</v>
      </c>
      <c r="L35" s="131">
        <v>109.2</v>
      </c>
      <c r="M35" s="131">
        <v>111.6</v>
      </c>
      <c r="N35" s="131">
        <v>113.6</v>
      </c>
      <c r="O35" s="131">
        <v>110.1</v>
      </c>
      <c r="P35" s="131">
        <v>115.5</v>
      </c>
      <c r="Q35" s="131">
        <f t="shared" si="1"/>
        <v>2962.4999999999995</v>
      </c>
    </row>
    <row r="36" spans="1:17" x14ac:dyDescent="0.35">
      <c r="A36" s="129" t="s">
        <v>33</v>
      </c>
      <c r="B36" s="129">
        <v>2013</v>
      </c>
      <c r="C36" s="129" t="s">
        <v>46</v>
      </c>
      <c r="D36" s="129" t="str">
        <f t="shared" si="0"/>
        <v>December-2013</v>
      </c>
      <c r="E36" s="129" t="s">
        <v>32</v>
      </c>
      <c r="F36" s="130">
        <v>1504.4</v>
      </c>
      <c r="G36" s="130">
        <v>338.8</v>
      </c>
      <c r="H36" s="130">
        <v>222</v>
      </c>
      <c r="I36" s="130">
        <v>216.7</v>
      </c>
      <c r="J36" s="130">
        <v>110.4</v>
      </c>
      <c r="K36" s="130">
        <v>109.7</v>
      </c>
      <c r="L36" s="131">
        <v>108.9</v>
      </c>
      <c r="M36" s="131">
        <v>111.4</v>
      </c>
      <c r="N36" s="131">
        <v>115</v>
      </c>
      <c r="O36" s="131">
        <v>109.8</v>
      </c>
      <c r="P36" s="131">
        <v>113.3</v>
      </c>
      <c r="Q36" s="131">
        <f t="shared" si="1"/>
        <v>2947.1</v>
      </c>
    </row>
    <row r="37" spans="1:17" x14ac:dyDescent="0.35">
      <c r="A37" s="129" t="s">
        <v>34</v>
      </c>
      <c r="B37" s="129">
        <v>2013</v>
      </c>
      <c r="C37" s="129" t="s">
        <v>46</v>
      </c>
      <c r="D37" s="129" t="str">
        <f t="shared" si="0"/>
        <v>December-2013</v>
      </c>
      <c r="E37" s="129" t="s">
        <v>32</v>
      </c>
      <c r="F37" s="130">
        <v>1507.3000000000002</v>
      </c>
      <c r="G37" s="130">
        <v>342.7</v>
      </c>
      <c r="H37" s="130">
        <v>222.4</v>
      </c>
      <c r="I37" s="130">
        <v>217.60000000000002</v>
      </c>
      <c r="J37" s="130">
        <v>111.9</v>
      </c>
      <c r="K37" s="130">
        <v>109.8</v>
      </c>
      <c r="L37" s="131">
        <v>109</v>
      </c>
      <c r="M37" s="131">
        <v>111.5</v>
      </c>
      <c r="N37" s="131">
        <v>114</v>
      </c>
      <c r="O37" s="131">
        <v>110</v>
      </c>
      <c r="P37" s="131">
        <v>114.5</v>
      </c>
      <c r="Q37" s="131">
        <f t="shared" si="1"/>
        <v>2956.2000000000003</v>
      </c>
    </row>
    <row r="38" spans="1:17" x14ac:dyDescent="0.35">
      <c r="A38" s="129" t="s">
        <v>30</v>
      </c>
      <c r="B38" s="129">
        <v>2014</v>
      </c>
      <c r="C38" s="129" t="s">
        <v>31</v>
      </c>
      <c r="D38" s="129" t="str">
        <f t="shared" si="0"/>
        <v>January-2014</v>
      </c>
      <c r="E38" s="129" t="s">
        <v>32</v>
      </c>
      <c r="F38" s="130">
        <v>1486.6000000000001</v>
      </c>
      <c r="G38" s="130">
        <v>347.2</v>
      </c>
      <c r="H38" s="130">
        <v>224.2</v>
      </c>
      <c r="I38" s="130">
        <v>218.89999999999998</v>
      </c>
      <c r="J38" s="130">
        <v>113</v>
      </c>
      <c r="K38" s="130">
        <v>110.5</v>
      </c>
      <c r="L38" s="131">
        <v>109.6</v>
      </c>
      <c r="M38" s="131">
        <v>111.8</v>
      </c>
      <c r="N38" s="131">
        <v>114</v>
      </c>
      <c r="O38" s="131">
        <v>110.6</v>
      </c>
      <c r="P38" s="131">
        <v>114.2</v>
      </c>
      <c r="Q38" s="131">
        <f t="shared" si="1"/>
        <v>2946.4</v>
      </c>
    </row>
    <row r="39" spans="1:17" x14ac:dyDescent="0.35">
      <c r="A39" s="129" t="s">
        <v>33</v>
      </c>
      <c r="B39" s="129">
        <v>2014</v>
      </c>
      <c r="C39" s="129" t="s">
        <v>31</v>
      </c>
      <c r="D39" s="129" t="str">
        <f t="shared" si="0"/>
        <v>January-2014</v>
      </c>
      <c r="E39" s="129" t="s">
        <v>32</v>
      </c>
      <c r="F39" s="130">
        <v>1484.3</v>
      </c>
      <c r="G39" s="130">
        <v>340.4</v>
      </c>
      <c r="H39" s="130">
        <v>223.5</v>
      </c>
      <c r="I39" s="130">
        <v>217.7</v>
      </c>
      <c r="J39" s="130">
        <v>111</v>
      </c>
      <c r="K39" s="130">
        <v>110.8</v>
      </c>
      <c r="L39" s="131">
        <v>109.8</v>
      </c>
      <c r="M39" s="131">
        <v>111.5</v>
      </c>
      <c r="N39" s="131">
        <v>115.7</v>
      </c>
      <c r="O39" s="131">
        <v>110.5</v>
      </c>
      <c r="P39" s="131">
        <v>112.9</v>
      </c>
      <c r="Q39" s="131">
        <f t="shared" si="1"/>
        <v>2935.2</v>
      </c>
    </row>
    <row r="40" spans="1:17" x14ac:dyDescent="0.35">
      <c r="A40" s="129" t="s">
        <v>34</v>
      </c>
      <c r="B40" s="129">
        <v>2014</v>
      </c>
      <c r="C40" s="129" t="s">
        <v>31</v>
      </c>
      <c r="D40" s="129" t="str">
        <f t="shared" si="0"/>
        <v>January-2014</v>
      </c>
      <c r="E40" s="129" t="s">
        <v>32</v>
      </c>
      <c r="F40" s="130">
        <v>1485.7999999999997</v>
      </c>
      <c r="G40" s="130">
        <v>344.4</v>
      </c>
      <c r="H40" s="130">
        <v>223.89999999999998</v>
      </c>
      <c r="I40" s="130">
        <v>218.5</v>
      </c>
      <c r="J40" s="130">
        <v>112.2</v>
      </c>
      <c r="K40" s="130">
        <v>110.7</v>
      </c>
      <c r="L40" s="131">
        <v>109.7</v>
      </c>
      <c r="M40" s="131">
        <v>111.6</v>
      </c>
      <c r="N40" s="131">
        <v>114.5</v>
      </c>
      <c r="O40" s="131">
        <v>110.6</v>
      </c>
      <c r="P40" s="131">
        <v>113.6</v>
      </c>
      <c r="Q40" s="131">
        <f t="shared" si="1"/>
        <v>2941.8999999999992</v>
      </c>
    </row>
    <row r="41" spans="1:17" x14ac:dyDescent="0.35">
      <c r="A41" s="129" t="s">
        <v>30</v>
      </c>
      <c r="B41" s="129">
        <v>2014</v>
      </c>
      <c r="C41" s="129" t="s">
        <v>35</v>
      </c>
      <c r="D41" s="129" t="str">
        <f t="shared" si="0"/>
        <v>February-2014</v>
      </c>
      <c r="E41" s="129" t="s">
        <v>32</v>
      </c>
      <c r="F41" s="130">
        <v>1482.2</v>
      </c>
      <c r="G41" s="130">
        <v>348.3</v>
      </c>
      <c r="H41" s="130">
        <v>225.4</v>
      </c>
      <c r="I41" s="130">
        <v>219.60000000000002</v>
      </c>
      <c r="J41" s="130">
        <v>113.2</v>
      </c>
      <c r="K41" s="130">
        <v>110.8</v>
      </c>
      <c r="L41" s="131">
        <v>109.9</v>
      </c>
      <c r="M41" s="131">
        <v>112</v>
      </c>
      <c r="N41" s="131">
        <v>114.2</v>
      </c>
      <c r="O41" s="131">
        <v>110.9</v>
      </c>
      <c r="P41" s="131">
        <v>114</v>
      </c>
      <c r="Q41" s="131">
        <f t="shared" si="1"/>
        <v>2946.5</v>
      </c>
    </row>
    <row r="42" spans="1:17" x14ac:dyDescent="0.35">
      <c r="A42" s="129" t="s">
        <v>33</v>
      </c>
      <c r="B42" s="129">
        <v>2014</v>
      </c>
      <c r="C42" s="129" t="s">
        <v>35</v>
      </c>
      <c r="D42" s="129" t="str">
        <f t="shared" si="0"/>
        <v>February-2014</v>
      </c>
      <c r="E42" s="129" t="s">
        <v>32</v>
      </c>
      <c r="F42" s="130">
        <v>1476</v>
      </c>
      <c r="G42" s="130">
        <v>341.7</v>
      </c>
      <c r="H42" s="130">
        <v>225.1</v>
      </c>
      <c r="I42" s="130">
        <v>219.10000000000002</v>
      </c>
      <c r="J42" s="130">
        <v>111.1</v>
      </c>
      <c r="K42" s="130">
        <v>111.3</v>
      </c>
      <c r="L42" s="131">
        <v>110.3</v>
      </c>
      <c r="M42" s="131">
        <v>111.6</v>
      </c>
      <c r="N42" s="131">
        <v>116.2</v>
      </c>
      <c r="O42" s="131">
        <v>111</v>
      </c>
      <c r="P42" s="131">
        <v>113.1</v>
      </c>
      <c r="Q42" s="131">
        <f t="shared" si="1"/>
        <v>2933.4</v>
      </c>
    </row>
    <row r="43" spans="1:17" x14ac:dyDescent="0.35">
      <c r="A43" s="129" t="s">
        <v>34</v>
      </c>
      <c r="B43" s="129">
        <v>2014</v>
      </c>
      <c r="C43" s="129" t="s">
        <v>35</v>
      </c>
      <c r="D43" s="129" t="str">
        <f t="shared" si="0"/>
        <v>February-2014</v>
      </c>
      <c r="E43" s="129" t="s">
        <v>32</v>
      </c>
      <c r="F43" s="130">
        <v>1480.1</v>
      </c>
      <c r="G43" s="130">
        <v>345.6</v>
      </c>
      <c r="H43" s="130">
        <v>225.3</v>
      </c>
      <c r="I43" s="130">
        <v>219.4</v>
      </c>
      <c r="J43" s="130">
        <v>112.4</v>
      </c>
      <c r="K43" s="130">
        <v>111.1</v>
      </c>
      <c r="L43" s="131">
        <v>110.1</v>
      </c>
      <c r="M43" s="131">
        <v>111.8</v>
      </c>
      <c r="N43" s="131">
        <v>114.7</v>
      </c>
      <c r="O43" s="131">
        <v>110.9</v>
      </c>
      <c r="P43" s="131">
        <v>113.6</v>
      </c>
      <c r="Q43" s="131">
        <f t="shared" si="1"/>
        <v>2941.4</v>
      </c>
    </row>
    <row r="44" spans="1:17" x14ac:dyDescent="0.35">
      <c r="A44" s="129" t="s">
        <v>30</v>
      </c>
      <c r="B44" s="129">
        <v>2014</v>
      </c>
      <c r="C44" s="129" t="s">
        <v>36</v>
      </c>
      <c r="D44" s="129" t="str">
        <f t="shared" si="0"/>
        <v>March-2014</v>
      </c>
      <c r="E44" s="129" t="s">
        <v>32</v>
      </c>
      <c r="F44" s="130">
        <v>1491.4</v>
      </c>
      <c r="G44" s="130">
        <v>349.6</v>
      </c>
      <c r="H44" s="130">
        <v>226.60000000000002</v>
      </c>
      <c r="I44" s="130">
        <v>220.3</v>
      </c>
      <c r="J44" s="130">
        <v>113.4</v>
      </c>
      <c r="K44" s="130">
        <v>111.2</v>
      </c>
      <c r="L44" s="131">
        <v>110.2</v>
      </c>
      <c r="M44" s="131">
        <v>112.4</v>
      </c>
      <c r="N44" s="131">
        <v>114.6</v>
      </c>
      <c r="O44" s="131">
        <v>111.3</v>
      </c>
      <c r="P44" s="131">
        <v>114.6</v>
      </c>
      <c r="Q44" s="131">
        <f t="shared" si="1"/>
        <v>2961</v>
      </c>
    </row>
    <row r="45" spans="1:17" x14ac:dyDescent="0.35">
      <c r="A45" s="129" t="s">
        <v>33</v>
      </c>
      <c r="B45" s="129">
        <v>2014</v>
      </c>
      <c r="C45" s="129" t="s">
        <v>36</v>
      </c>
      <c r="D45" s="129" t="str">
        <f t="shared" si="0"/>
        <v>March-2014</v>
      </c>
      <c r="E45" s="129" t="s">
        <v>32</v>
      </c>
      <c r="F45" s="130">
        <v>1483</v>
      </c>
      <c r="G45" s="130">
        <v>343.09999999999997</v>
      </c>
      <c r="H45" s="130">
        <v>226.2</v>
      </c>
      <c r="I45" s="130">
        <v>220</v>
      </c>
      <c r="J45" s="130">
        <v>110.9</v>
      </c>
      <c r="K45" s="130">
        <v>111.6</v>
      </c>
      <c r="L45" s="131">
        <v>110.9</v>
      </c>
      <c r="M45" s="131">
        <v>111.8</v>
      </c>
      <c r="N45" s="131">
        <v>116.7</v>
      </c>
      <c r="O45" s="131">
        <v>111.4</v>
      </c>
      <c r="P45" s="131">
        <v>113.7</v>
      </c>
      <c r="Q45" s="131">
        <f t="shared" si="1"/>
        <v>2945.6</v>
      </c>
    </row>
    <row r="46" spans="1:17" x14ac:dyDescent="0.35">
      <c r="A46" s="129" t="s">
        <v>34</v>
      </c>
      <c r="B46" s="129">
        <v>2014</v>
      </c>
      <c r="C46" s="129" t="s">
        <v>47</v>
      </c>
      <c r="D46" s="129" t="str">
        <f t="shared" si="0"/>
        <v>Marcrh-2014</v>
      </c>
      <c r="E46" s="129" t="s">
        <v>32</v>
      </c>
      <c r="F46" s="130">
        <v>1488.2999999999997</v>
      </c>
      <c r="G46" s="130">
        <v>346.9</v>
      </c>
      <c r="H46" s="130">
        <v>226.4</v>
      </c>
      <c r="I46" s="130">
        <v>220.2</v>
      </c>
      <c r="J46" s="130">
        <v>112.5</v>
      </c>
      <c r="K46" s="130">
        <v>111.4</v>
      </c>
      <c r="L46" s="131">
        <v>110.6</v>
      </c>
      <c r="M46" s="131">
        <v>112</v>
      </c>
      <c r="N46" s="131">
        <v>115.2</v>
      </c>
      <c r="O46" s="131">
        <v>111.3</v>
      </c>
      <c r="P46" s="131">
        <v>114.2</v>
      </c>
      <c r="Q46" s="131">
        <f t="shared" si="1"/>
        <v>2954.7999999999997</v>
      </c>
    </row>
    <row r="47" spans="1:17" x14ac:dyDescent="0.35">
      <c r="A47" s="129" t="s">
        <v>30</v>
      </c>
      <c r="B47" s="129">
        <v>2014</v>
      </c>
      <c r="C47" s="129" t="s">
        <v>37</v>
      </c>
      <c r="D47" s="129" t="str">
        <f t="shared" si="0"/>
        <v>April-2014</v>
      </c>
      <c r="E47" s="129" t="s">
        <v>32</v>
      </c>
      <c r="F47" s="130">
        <v>1504.1000000000001</v>
      </c>
      <c r="G47" s="130">
        <v>352</v>
      </c>
      <c r="H47" s="130">
        <v>227.60000000000002</v>
      </c>
      <c r="I47" s="130">
        <v>220.7</v>
      </c>
      <c r="J47" s="130">
        <v>113.4</v>
      </c>
      <c r="K47" s="130">
        <v>111.2</v>
      </c>
      <c r="L47" s="131">
        <v>110.5</v>
      </c>
      <c r="M47" s="131">
        <v>113</v>
      </c>
      <c r="N47" s="131">
        <v>115.4</v>
      </c>
      <c r="O47" s="131">
        <v>111.5</v>
      </c>
      <c r="P47" s="131">
        <v>115.4</v>
      </c>
      <c r="Q47" s="131">
        <f t="shared" si="1"/>
        <v>2979.4</v>
      </c>
    </row>
    <row r="48" spans="1:17" x14ac:dyDescent="0.35">
      <c r="A48" s="129" t="s">
        <v>33</v>
      </c>
      <c r="B48" s="129">
        <v>2014</v>
      </c>
      <c r="C48" s="129" t="s">
        <v>37</v>
      </c>
      <c r="D48" s="129" t="str">
        <f t="shared" si="0"/>
        <v>April-2014</v>
      </c>
      <c r="E48" s="129" t="s">
        <v>32</v>
      </c>
      <c r="F48" s="130">
        <v>1504.0000000000002</v>
      </c>
      <c r="G48" s="130">
        <v>344.5</v>
      </c>
      <c r="H48" s="130">
        <v>227.3</v>
      </c>
      <c r="I48" s="130">
        <v>220.1</v>
      </c>
      <c r="J48" s="130">
        <v>110.9</v>
      </c>
      <c r="K48" s="130">
        <v>111.2</v>
      </c>
      <c r="L48" s="131">
        <v>111.2</v>
      </c>
      <c r="M48" s="131">
        <v>112.5</v>
      </c>
      <c r="N48" s="131">
        <v>117.6</v>
      </c>
      <c r="O48" s="131">
        <v>111.4</v>
      </c>
      <c r="P48" s="131">
        <v>114.7</v>
      </c>
      <c r="Q48" s="131">
        <f t="shared" si="1"/>
        <v>2970.7</v>
      </c>
    </row>
    <row r="49" spans="1:17" x14ac:dyDescent="0.35">
      <c r="A49" s="129" t="s">
        <v>34</v>
      </c>
      <c r="B49" s="129">
        <v>2014</v>
      </c>
      <c r="C49" s="129" t="s">
        <v>37</v>
      </c>
      <c r="D49" s="129" t="str">
        <f t="shared" si="0"/>
        <v>April-2014</v>
      </c>
      <c r="E49" s="129" t="s">
        <v>32</v>
      </c>
      <c r="F49" s="130">
        <v>1504.1</v>
      </c>
      <c r="G49" s="130">
        <v>349</v>
      </c>
      <c r="H49" s="130">
        <v>227.5</v>
      </c>
      <c r="I49" s="130">
        <v>220.5</v>
      </c>
      <c r="J49" s="130">
        <v>112.5</v>
      </c>
      <c r="K49" s="130">
        <v>111.2</v>
      </c>
      <c r="L49" s="131">
        <v>110.9</v>
      </c>
      <c r="M49" s="131">
        <v>112.7</v>
      </c>
      <c r="N49" s="131">
        <v>116</v>
      </c>
      <c r="O49" s="131">
        <v>111.5</v>
      </c>
      <c r="P49" s="131">
        <v>115.1</v>
      </c>
      <c r="Q49" s="131">
        <f t="shared" si="1"/>
        <v>2975.8999999999996</v>
      </c>
    </row>
    <row r="50" spans="1:17" x14ac:dyDescent="0.35">
      <c r="A50" s="129" t="s">
        <v>30</v>
      </c>
      <c r="B50" s="129">
        <v>2014</v>
      </c>
      <c r="C50" s="129" t="s">
        <v>38</v>
      </c>
      <c r="D50" s="129" t="str">
        <f t="shared" si="0"/>
        <v>May-2014</v>
      </c>
      <c r="E50" s="129" t="s">
        <v>32</v>
      </c>
      <c r="F50" s="130">
        <v>1513.8999999999999</v>
      </c>
      <c r="G50" s="130">
        <v>354</v>
      </c>
      <c r="H50" s="130">
        <v>228.39999999999998</v>
      </c>
      <c r="I50" s="130">
        <v>221</v>
      </c>
      <c r="J50" s="130">
        <v>113.4</v>
      </c>
      <c r="K50" s="130">
        <v>111.4</v>
      </c>
      <c r="L50" s="131">
        <v>110.9</v>
      </c>
      <c r="M50" s="131">
        <v>113.1</v>
      </c>
      <c r="N50" s="131">
        <v>116.3</v>
      </c>
      <c r="O50" s="131">
        <v>111.8</v>
      </c>
      <c r="P50" s="131">
        <v>116</v>
      </c>
      <c r="Q50" s="131">
        <f t="shared" si="1"/>
        <v>2994.2000000000003</v>
      </c>
    </row>
    <row r="51" spans="1:17" x14ac:dyDescent="0.35">
      <c r="A51" s="129" t="s">
        <v>33</v>
      </c>
      <c r="B51" s="129">
        <v>2014</v>
      </c>
      <c r="C51" s="129" t="s">
        <v>38</v>
      </c>
      <c r="D51" s="129" t="str">
        <f t="shared" si="0"/>
        <v>May-2014</v>
      </c>
      <c r="E51" s="129" t="s">
        <v>32</v>
      </c>
      <c r="F51" s="130">
        <v>1525.3000000000002</v>
      </c>
      <c r="G51" s="130">
        <v>345.9</v>
      </c>
      <c r="H51" s="130">
        <v>228.39999999999998</v>
      </c>
      <c r="I51" s="130">
        <v>220.5</v>
      </c>
      <c r="J51" s="130">
        <v>111.1</v>
      </c>
      <c r="K51" s="130">
        <v>111.3</v>
      </c>
      <c r="L51" s="131">
        <v>111.5</v>
      </c>
      <c r="M51" s="131">
        <v>112.9</v>
      </c>
      <c r="N51" s="131">
        <v>118.3</v>
      </c>
      <c r="O51" s="131">
        <v>111.7</v>
      </c>
      <c r="P51" s="131">
        <v>115.6</v>
      </c>
      <c r="Q51" s="131">
        <f t="shared" si="1"/>
        <v>2996.9000000000005</v>
      </c>
    </row>
    <row r="52" spans="1:17" x14ac:dyDescent="0.35">
      <c r="A52" s="129" t="s">
        <v>34</v>
      </c>
      <c r="B52" s="129">
        <v>2014</v>
      </c>
      <c r="C52" s="129" t="s">
        <v>38</v>
      </c>
      <c r="D52" s="129" t="str">
        <f t="shared" si="0"/>
        <v>May-2014</v>
      </c>
      <c r="E52" s="129" t="s">
        <v>32</v>
      </c>
      <c r="F52" s="130">
        <v>1518.5000000000005</v>
      </c>
      <c r="G52" s="130">
        <v>350.79999999999995</v>
      </c>
      <c r="H52" s="130">
        <v>228.39999999999998</v>
      </c>
      <c r="I52" s="130">
        <v>220.89999999999998</v>
      </c>
      <c r="J52" s="130">
        <v>112.5</v>
      </c>
      <c r="K52" s="130">
        <v>111.3</v>
      </c>
      <c r="L52" s="131">
        <v>111.2</v>
      </c>
      <c r="M52" s="131">
        <v>113</v>
      </c>
      <c r="N52" s="131">
        <v>116.8</v>
      </c>
      <c r="O52" s="131">
        <v>111.8</v>
      </c>
      <c r="P52" s="131">
        <v>115.8</v>
      </c>
      <c r="Q52" s="131">
        <f t="shared" si="1"/>
        <v>2995.2000000000007</v>
      </c>
    </row>
    <row r="53" spans="1:17" x14ac:dyDescent="0.35">
      <c r="A53" s="129" t="s">
        <v>30</v>
      </c>
      <c r="B53" s="129">
        <v>2014</v>
      </c>
      <c r="C53" s="129" t="s">
        <v>39</v>
      </c>
      <c r="D53" s="129" t="str">
        <f t="shared" si="0"/>
        <v>June-2014</v>
      </c>
      <c r="E53" s="129" t="s">
        <v>32</v>
      </c>
      <c r="F53" s="130">
        <v>1525.6999999999998</v>
      </c>
      <c r="G53" s="130">
        <v>356.3</v>
      </c>
      <c r="H53" s="130">
        <v>228.8</v>
      </c>
      <c r="I53" s="130">
        <v>220.8</v>
      </c>
      <c r="J53" s="130">
        <v>114.4</v>
      </c>
      <c r="K53" s="130">
        <v>112.2</v>
      </c>
      <c r="L53" s="131">
        <v>111.4</v>
      </c>
      <c r="M53" s="131">
        <v>114.3</v>
      </c>
      <c r="N53" s="131">
        <v>117.3</v>
      </c>
      <c r="O53" s="131">
        <v>112.3</v>
      </c>
      <c r="P53" s="131">
        <v>117</v>
      </c>
      <c r="Q53" s="131">
        <f t="shared" si="1"/>
        <v>3013.5000000000005</v>
      </c>
    </row>
    <row r="54" spans="1:17" x14ac:dyDescent="0.35">
      <c r="A54" s="129" t="s">
        <v>33</v>
      </c>
      <c r="B54" s="129">
        <v>2014</v>
      </c>
      <c r="C54" s="129" t="s">
        <v>39</v>
      </c>
      <c r="D54" s="129" t="str">
        <f t="shared" si="0"/>
        <v>June-2014</v>
      </c>
      <c r="E54" s="129" t="s">
        <v>32</v>
      </c>
      <c r="F54" s="130">
        <v>1547</v>
      </c>
      <c r="G54" s="130">
        <v>347.3</v>
      </c>
      <c r="H54" s="130">
        <v>228.2</v>
      </c>
      <c r="I54" s="130">
        <v>220.10000000000002</v>
      </c>
      <c r="J54" s="130">
        <v>111.2</v>
      </c>
      <c r="K54" s="130">
        <v>111.5</v>
      </c>
      <c r="L54" s="131">
        <v>111.8</v>
      </c>
      <c r="M54" s="131">
        <v>115.1</v>
      </c>
      <c r="N54" s="131">
        <v>119</v>
      </c>
      <c r="O54" s="131">
        <v>112.2</v>
      </c>
      <c r="P54" s="131">
        <v>116.4</v>
      </c>
      <c r="Q54" s="131">
        <f t="shared" si="1"/>
        <v>3023.3999999999996</v>
      </c>
    </row>
    <row r="55" spans="1:17" x14ac:dyDescent="0.35">
      <c r="A55" s="129" t="s">
        <v>34</v>
      </c>
      <c r="B55" s="129">
        <v>2014</v>
      </c>
      <c r="C55" s="129" t="s">
        <v>39</v>
      </c>
      <c r="D55" s="129" t="str">
        <f t="shared" si="0"/>
        <v>June-2014</v>
      </c>
      <c r="E55" s="129" t="s">
        <v>32</v>
      </c>
      <c r="F55" s="130">
        <v>1533.7000000000003</v>
      </c>
      <c r="G55" s="130">
        <v>352.7</v>
      </c>
      <c r="H55" s="130">
        <v>228.5</v>
      </c>
      <c r="I55" s="130">
        <v>220.6</v>
      </c>
      <c r="J55" s="130">
        <v>113.2</v>
      </c>
      <c r="K55" s="130">
        <v>111.8</v>
      </c>
      <c r="L55" s="131">
        <v>111.6</v>
      </c>
      <c r="M55" s="131">
        <v>114.8</v>
      </c>
      <c r="N55" s="131">
        <v>117.8</v>
      </c>
      <c r="O55" s="131">
        <v>112.3</v>
      </c>
      <c r="P55" s="131">
        <v>116.7</v>
      </c>
      <c r="Q55" s="131">
        <f t="shared" si="1"/>
        <v>3017.0000000000009</v>
      </c>
    </row>
    <row r="56" spans="1:17" x14ac:dyDescent="0.35">
      <c r="A56" s="129" t="s">
        <v>30</v>
      </c>
      <c r="B56" s="129">
        <v>2014</v>
      </c>
      <c r="C56" s="129" t="s">
        <v>40</v>
      </c>
      <c r="D56" s="129" t="str">
        <f t="shared" si="0"/>
        <v>July-2014</v>
      </c>
      <c r="E56" s="129" t="s">
        <v>32</v>
      </c>
      <c r="F56" s="130">
        <v>1563.2</v>
      </c>
      <c r="G56" s="130">
        <v>359.3</v>
      </c>
      <c r="H56" s="130">
        <v>230.2</v>
      </c>
      <c r="I56" s="130">
        <v>222.2</v>
      </c>
      <c r="J56" s="130">
        <v>115.3</v>
      </c>
      <c r="K56" s="130">
        <v>113.2</v>
      </c>
      <c r="L56" s="131">
        <v>111.8</v>
      </c>
      <c r="M56" s="131">
        <v>115.5</v>
      </c>
      <c r="N56" s="131">
        <v>118</v>
      </c>
      <c r="O56" s="131">
        <v>113.1</v>
      </c>
      <c r="P56" s="131">
        <v>119.5</v>
      </c>
      <c r="Q56" s="131">
        <f t="shared" si="1"/>
        <v>3061.7999999999997</v>
      </c>
    </row>
    <row r="57" spans="1:17" x14ac:dyDescent="0.35">
      <c r="A57" s="129" t="s">
        <v>33</v>
      </c>
      <c r="B57" s="129">
        <v>2014</v>
      </c>
      <c r="C57" s="129" t="s">
        <v>40</v>
      </c>
      <c r="D57" s="129" t="str">
        <f t="shared" si="0"/>
        <v>July-2014</v>
      </c>
      <c r="E57" s="129" t="s">
        <v>32</v>
      </c>
      <c r="F57" s="130">
        <v>1599.5</v>
      </c>
      <c r="G57" s="130">
        <v>349</v>
      </c>
      <c r="H57" s="130">
        <v>229.7</v>
      </c>
      <c r="I57" s="130">
        <v>221.2</v>
      </c>
      <c r="J57" s="130">
        <v>111.6</v>
      </c>
      <c r="K57" s="130">
        <v>113</v>
      </c>
      <c r="L57" s="131">
        <v>112.4</v>
      </c>
      <c r="M57" s="131">
        <v>117.8</v>
      </c>
      <c r="N57" s="131">
        <v>121</v>
      </c>
      <c r="O57" s="131">
        <v>113.5</v>
      </c>
      <c r="P57" s="131">
        <v>118.9</v>
      </c>
      <c r="Q57" s="131">
        <f t="shared" si="1"/>
        <v>3088.7</v>
      </c>
    </row>
    <row r="58" spans="1:17" x14ac:dyDescent="0.35">
      <c r="A58" s="129" t="s">
        <v>34</v>
      </c>
      <c r="B58" s="129">
        <v>2014</v>
      </c>
      <c r="C58" s="129" t="s">
        <v>40</v>
      </c>
      <c r="D58" s="129" t="str">
        <f t="shared" si="0"/>
        <v>July-2014</v>
      </c>
      <c r="E58" s="129" t="s">
        <v>32</v>
      </c>
      <c r="F58" s="130">
        <v>1576.3</v>
      </c>
      <c r="G58" s="130">
        <v>355</v>
      </c>
      <c r="H58" s="130">
        <v>230</v>
      </c>
      <c r="I58" s="130">
        <v>221.9</v>
      </c>
      <c r="J58" s="130">
        <v>113.9</v>
      </c>
      <c r="K58" s="130">
        <v>113.1</v>
      </c>
      <c r="L58" s="131">
        <v>112.1</v>
      </c>
      <c r="M58" s="131">
        <v>116.8</v>
      </c>
      <c r="N58" s="131">
        <v>118.8</v>
      </c>
      <c r="O58" s="131">
        <v>113.3</v>
      </c>
      <c r="P58" s="131">
        <v>119.2</v>
      </c>
      <c r="Q58" s="131">
        <f t="shared" si="1"/>
        <v>3071.2000000000007</v>
      </c>
    </row>
    <row r="59" spans="1:17" x14ac:dyDescent="0.35">
      <c r="A59" s="129" t="s">
        <v>30</v>
      </c>
      <c r="B59" s="129">
        <v>2014</v>
      </c>
      <c r="C59" s="129" t="s">
        <v>41</v>
      </c>
      <c r="D59" s="129" t="str">
        <f t="shared" si="0"/>
        <v>August-2014</v>
      </c>
      <c r="E59" s="129" t="s">
        <v>32</v>
      </c>
      <c r="F59" s="130">
        <v>1582.2999999999997</v>
      </c>
      <c r="G59" s="130">
        <v>360.4</v>
      </c>
      <c r="H59" s="130">
        <v>231.4</v>
      </c>
      <c r="I59" s="130">
        <v>223.4</v>
      </c>
      <c r="J59" s="130">
        <v>115.4</v>
      </c>
      <c r="K59" s="130">
        <v>113.2</v>
      </c>
      <c r="L59" s="131">
        <v>112.2</v>
      </c>
      <c r="M59" s="131">
        <v>116.2</v>
      </c>
      <c r="N59" s="131">
        <v>118.8</v>
      </c>
      <c r="O59" s="131">
        <v>113.5</v>
      </c>
      <c r="P59" s="131">
        <v>120.7</v>
      </c>
      <c r="Q59" s="131">
        <f t="shared" si="1"/>
        <v>3086.7999999999997</v>
      </c>
    </row>
    <row r="60" spans="1:17" x14ac:dyDescent="0.35">
      <c r="A60" s="129" t="s">
        <v>33</v>
      </c>
      <c r="B60" s="129">
        <v>2014</v>
      </c>
      <c r="C60" s="129" t="s">
        <v>41</v>
      </c>
      <c r="D60" s="129" t="str">
        <f t="shared" si="0"/>
        <v>August-2014</v>
      </c>
      <c r="E60" s="129" t="s">
        <v>32</v>
      </c>
      <c r="F60" s="130">
        <v>1617</v>
      </c>
      <c r="G60" s="130">
        <v>350.6</v>
      </c>
      <c r="H60" s="130">
        <v>230.8</v>
      </c>
      <c r="I60" s="130">
        <v>222.7</v>
      </c>
      <c r="J60" s="130">
        <v>111.8</v>
      </c>
      <c r="K60" s="130">
        <v>112.5</v>
      </c>
      <c r="L60" s="131">
        <v>112.9</v>
      </c>
      <c r="M60" s="131">
        <v>119.2</v>
      </c>
      <c r="N60" s="131">
        <v>123</v>
      </c>
      <c r="O60" s="131">
        <v>113.9</v>
      </c>
      <c r="P60" s="131">
        <v>119.9</v>
      </c>
      <c r="Q60" s="131">
        <f t="shared" si="1"/>
        <v>3114.4</v>
      </c>
    </row>
    <row r="61" spans="1:17" x14ac:dyDescent="0.35">
      <c r="A61" s="129" t="s">
        <v>34</v>
      </c>
      <c r="B61" s="129">
        <v>2014</v>
      </c>
      <c r="C61" s="129" t="s">
        <v>41</v>
      </c>
      <c r="D61" s="129" t="str">
        <f t="shared" si="0"/>
        <v>August-2014</v>
      </c>
      <c r="E61" s="129" t="s">
        <v>32</v>
      </c>
      <c r="F61" s="130">
        <v>1594.4999999999998</v>
      </c>
      <c r="G61" s="130">
        <v>356.4</v>
      </c>
      <c r="H61" s="130">
        <v>231.1</v>
      </c>
      <c r="I61" s="130">
        <v>223.2</v>
      </c>
      <c r="J61" s="130">
        <v>114</v>
      </c>
      <c r="K61" s="130">
        <v>112.8</v>
      </c>
      <c r="L61" s="131">
        <v>112.6</v>
      </c>
      <c r="M61" s="131">
        <v>118</v>
      </c>
      <c r="N61" s="131">
        <v>119.9</v>
      </c>
      <c r="O61" s="131">
        <v>113.7</v>
      </c>
      <c r="P61" s="131">
        <v>120.3</v>
      </c>
      <c r="Q61" s="131">
        <f t="shared" si="1"/>
        <v>3096.1999999999994</v>
      </c>
    </row>
    <row r="62" spans="1:17" x14ac:dyDescent="0.35">
      <c r="A62" s="129" t="s">
        <v>30</v>
      </c>
      <c r="B62" s="129">
        <v>2014</v>
      </c>
      <c r="C62" s="129" t="s">
        <v>42</v>
      </c>
      <c r="D62" s="129" t="str">
        <f t="shared" si="0"/>
        <v>September-2014</v>
      </c>
      <c r="E62" s="129" t="s">
        <v>32</v>
      </c>
      <c r="F62" s="130">
        <v>1583.2</v>
      </c>
      <c r="G62" s="130">
        <v>362.2</v>
      </c>
      <c r="H62" s="130">
        <v>232.8</v>
      </c>
      <c r="I62" s="130">
        <v>223.6</v>
      </c>
      <c r="J62" s="130">
        <v>115.8</v>
      </c>
      <c r="K62" s="130">
        <v>112.8</v>
      </c>
      <c r="L62" s="131">
        <v>112.6</v>
      </c>
      <c r="M62" s="131">
        <v>116.6</v>
      </c>
      <c r="N62" s="131">
        <v>119.5</v>
      </c>
      <c r="O62" s="131">
        <v>113.7</v>
      </c>
      <c r="P62" s="131">
        <v>120.9</v>
      </c>
      <c r="Q62" s="131">
        <f t="shared" si="1"/>
        <v>3092.8</v>
      </c>
    </row>
    <row r="63" spans="1:17" x14ac:dyDescent="0.35">
      <c r="A63" s="129" t="s">
        <v>33</v>
      </c>
      <c r="B63" s="129">
        <v>2014</v>
      </c>
      <c r="C63" s="129" t="s">
        <v>42</v>
      </c>
      <c r="D63" s="129" t="str">
        <f t="shared" si="0"/>
        <v>September-2014</v>
      </c>
      <c r="E63" s="129" t="s">
        <v>32</v>
      </c>
      <c r="F63" s="130">
        <v>1593.7000000000003</v>
      </c>
      <c r="G63" s="130">
        <v>352.1</v>
      </c>
      <c r="H63" s="130">
        <v>231.6</v>
      </c>
      <c r="I63" s="130">
        <v>222.3</v>
      </c>
      <c r="J63" s="130">
        <v>111.8</v>
      </c>
      <c r="K63" s="130">
        <v>111.2</v>
      </c>
      <c r="L63" s="131">
        <v>113.4</v>
      </c>
      <c r="M63" s="131">
        <v>120</v>
      </c>
      <c r="N63" s="131">
        <v>124.3</v>
      </c>
      <c r="O63" s="131">
        <v>113.6</v>
      </c>
      <c r="P63" s="131">
        <v>119.2</v>
      </c>
      <c r="Q63" s="131">
        <f t="shared" si="1"/>
        <v>3094.0000000000005</v>
      </c>
    </row>
    <row r="64" spans="1:17" x14ac:dyDescent="0.35">
      <c r="A64" s="129" t="s">
        <v>34</v>
      </c>
      <c r="B64" s="129">
        <v>2014</v>
      </c>
      <c r="C64" s="129" t="s">
        <v>42</v>
      </c>
      <c r="D64" s="129" t="str">
        <f t="shared" si="0"/>
        <v>September-2014</v>
      </c>
      <c r="E64" s="129" t="s">
        <v>32</v>
      </c>
      <c r="F64" s="130">
        <v>1586.0999999999997</v>
      </c>
      <c r="G64" s="130">
        <v>358</v>
      </c>
      <c r="H64" s="130">
        <v>232.2</v>
      </c>
      <c r="I64" s="130">
        <v>223.2</v>
      </c>
      <c r="J64" s="130">
        <v>114.3</v>
      </c>
      <c r="K64" s="130">
        <v>112</v>
      </c>
      <c r="L64" s="131">
        <v>113.1</v>
      </c>
      <c r="M64" s="131">
        <v>118.6</v>
      </c>
      <c r="N64" s="131">
        <v>120.8</v>
      </c>
      <c r="O64" s="131">
        <v>113.7</v>
      </c>
      <c r="P64" s="131">
        <v>120.1</v>
      </c>
      <c r="Q64" s="131">
        <f t="shared" si="1"/>
        <v>3091.9999999999995</v>
      </c>
    </row>
    <row r="65" spans="1:17" x14ac:dyDescent="0.35">
      <c r="A65" s="129" t="s">
        <v>30</v>
      </c>
      <c r="B65" s="129">
        <v>2014</v>
      </c>
      <c r="C65" s="129" t="s">
        <v>43</v>
      </c>
      <c r="D65" s="129" t="str">
        <f t="shared" si="0"/>
        <v>October-2014</v>
      </c>
      <c r="E65" s="129" t="s">
        <v>32</v>
      </c>
      <c r="F65" s="130">
        <v>1581.1999999999998</v>
      </c>
      <c r="G65" s="130">
        <v>365.3</v>
      </c>
      <c r="H65" s="130">
        <v>234.2</v>
      </c>
      <c r="I65" s="130">
        <v>224.6</v>
      </c>
      <c r="J65" s="130">
        <v>116.4</v>
      </c>
      <c r="K65" s="130">
        <v>112.6</v>
      </c>
      <c r="L65" s="131">
        <v>113</v>
      </c>
      <c r="M65" s="131">
        <v>116.9</v>
      </c>
      <c r="N65" s="131">
        <v>120</v>
      </c>
      <c r="O65" s="131">
        <v>114</v>
      </c>
      <c r="P65" s="131">
        <v>121</v>
      </c>
      <c r="Q65" s="131">
        <f t="shared" si="1"/>
        <v>3098.2</v>
      </c>
    </row>
    <row r="66" spans="1:17" x14ac:dyDescent="0.35">
      <c r="A66" s="129" t="s">
        <v>33</v>
      </c>
      <c r="B66" s="129">
        <v>2014</v>
      </c>
      <c r="C66" s="129" t="s">
        <v>43</v>
      </c>
      <c r="D66" s="129" t="str">
        <f t="shared" ref="D66:D129" si="2">CONCATENATE(C66,"-",B66)</f>
        <v>October-2014</v>
      </c>
      <c r="E66" s="129" t="s">
        <v>32</v>
      </c>
      <c r="F66" s="130">
        <v>1587.5</v>
      </c>
      <c r="G66" s="130">
        <v>353.4</v>
      </c>
      <c r="H66" s="130">
        <v>232.5</v>
      </c>
      <c r="I66" s="130">
        <v>222.7</v>
      </c>
      <c r="J66" s="130">
        <v>112</v>
      </c>
      <c r="K66" s="130">
        <v>111</v>
      </c>
      <c r="L66" s="131">
        <v>113.6</v>
      </c>
      <c r="M66" s="131">
        <v>120.2</v>
      </c>
      <c r="N66" s="131">
        <v>124.3</v>
      </c>
      <c r="O66" s="131">
        <v>113.7</v>
      </c>
      <c r="P66" s="131">
        <v>119.1</v>
      </c>
      <c r="Q66" s="131">
        <f t="shared" si="1"/>
        <v>3090.8999999999996</v>
      </c>
    </row>
    <row r="67" spans="1:17" x14ac:dyDescent="0.35">
      <c r="A67" s="129" t="s">
        <v>34</v>
      </c>
      <c r="B67" s="129">
        <v>2014</v>
      </c>
      <c r="C67" s="129" t="s">
        <v>43</v>
      </c>
      <c r="D67" s="129" t="str">
        <f t="shared" si="2"/>
        <v>October-2014</v>
      </c>
      <c r="E67" s="129" t="s">
        <v>32</v>
      </c>
      <c r="F67" s="130">
        <v>1582.7</v>
      </c>
      <c r="G67" s="130">
        <v>360.6</v>
      </c>
      <c r="H67" s="130">
        <v>233.4</v>
      </c>
      <c r="I67" s="130">
        <v>223.89999999999998</v>
      </c>
      <c r="J67" s="130">
        <v>114.7</v>
      </c>
      <c r="K67" s="130">
        <v>111.8</v>
      </c>
      <c r="L67" s="131">
        <v>113.3</v>
      </c>
      <c r="M67" s="131">
        <v>118.8</v>
      </c>
      <c r="N67" s="131">
        <v>121.1</v>
      </c>
      <c r="O67" s="131">
        <v>113.9</v>
      </c>
      <c r="P67" s="131">
        <v>120.1</v>
      </c>
      <c r="Q67" s="131">
        <f t="shared" ref="Q67:Q130" si="3">SUM(F67:O67)</f>
        <v>3094.2000000000007</v>
      </c>
    </row>
    <row r="68" spans="1:17" x14ac:dyDescent="0.35">
      <c r="A68" s="129" t="s">
        <v>30</v>
      </c>
      <c r="B68" s="129">
        <v>2014</v>
      </c>
      <c r="C68" s="129" t="s">
        <v>45</v>
      </c>
      <c r="D68" s="129" t="str">
        <f t="shared" si="2"/>
        <v>November-2014</v>
      </c>
      <c r="E68" s="129" t="s">
        <v>32</v>
      </c>
      <c r="F68" s="130">
        <v>1582</v>
      </c>
      <c r="G68" s="130">
        <v>366.70000000000005</v>
      </c>
      <c r="H68" s="130">
        <v>235.2</v>
      </c>
      <c r="I68" s="130">
        <v>224.7</v>
      </c>
      <c r="J68" s="130">
        <v>117.3</v>
      </c>
      <c r="K68" s="130">
        <v>112</v>
      </c>
      <c r="L68" s="131">
        <v>113.3</v>
      </c>
      <c r="M68" s="131">
        <v>117.2</v>
      </c>
      <c r="N68" s="131">
        <v>120.8</v>
      </c>
      <c r="O68" s="131">
        <v>114.1</v>
      </c>
      <c r="P68" s="131">
        <v>121.1</v>
      </c>
      <c r="Q68" s="131">
        <f t="shared" si="3"/>
        <v>3103.3</v>
      </c>
    </row>
    <row r="69" spans="1:17" x14ac:dyDescent="0.35">
      <c r="A69" s="129" t="s">
        <v>33</v>
      </c>
      <c r="B69" s="129">
        <v>2014</v>
      </c>
      <c r="C69" s="129" t="s">
        <v>45</v>
      </c>
      <c r="D69" s="129" t="str">
        <f t="shared" si="2"/>
        <v>November-2014</v>
      </c>
      <c r="E69" s="129" t="s">
        <v>32</v>
      </c>
      <c r="F69" s="130">
        <v>1587.8</v>
      </c>
      <c r="G69" s="130">
        <v>355.2</v>
      </c>
      <c r="H69" s="130">
        <v>233.5</v>
      </c>
      <c r="I69" s="130">
        <v>222.6</v>
      </c>
      <c r="J69" s="130">
        <v>112.6</v>
      </c>
      <c r="K69" s="130">
        <v>109.7</v>
      </c>
      <c r="L69" s="131">
        <v>114</v>
      </c>
      <c r="M69" s="131">
        <v>120.3</v>
      </c>
      <c r="N69" s="131">
        <v>125.8</v>
      </c>
      <c r="O69" s="131">
        <v>113.4</v>
      </c>
      <c r="P69" s="131">
        <v>119</v>
      </c>
      <c r="Q69" s="131">
        <f t="shared" si="3"/>
        <v>3094.9</v>
      </c>
    </row>
    <row r="70" spans="1:17" x14ac:dyDescent="0.35">
      <c r="A70" s="129" t="s">
        <v>34</v>
      </c>
      <c r="B70" s="129">
        <v>2014</v>
      </c>
      <c r="C70" s="129" t="s">
        <v>45</v>
      </c>
      <c r="D70" s="129" t="str">
        <f t="shared" si="2"/>
        <v>November-2014</v>
      </c>
      <c r="E70" s="129" t="s">
        <v>32</v>
      </c>
      <c r="F70" s="130">
        <v>1583.2</v>
      </c>
      <c r="G70" s="130">
        <v>362.1</v>
      </c>
      <c r="H70" s="130">
        <v>234.39999999999998</v>
      </c>
      <c r="I70" s="130">
        <v>223.89999999999998</v>
      </c>
      <c r="J70" s="130">
        <v>115.5</v>
      </c>
      <c r="K70" s="130">
        <v>110.8</v>
      </c>
      <c r="L70" s="131">
        <v>113.7</v>
      </c>
      <c r="M70" s="131">
        <v>119</v>
      </c>
      <c r="N70" s="131">
        <v>122.1</v>
      </c>
      <c r="O70" s="131">
        <v>113.8</v>
      </c>
      <c r="P70" s="131">
        <v>120.1</v>
      </c>
      <c r="Q70" s="131">
        <f t="shared" si="3"/>
        <v>3098.5000000000005</v>
      </c>
    </row>
    <row r="71" spans="1:17" x14ac:dyDescent="0.35">
      <c r="A71" s="129" t="s">
        <v>30</v>
      </c>
      <c r="B71" s="129">
        <v>2014</v>
      </c>
      <c r="C71" s="129" t="s">
        <v>46</v>
      </c>
      <c r="D71" s="129" t="str">
        <f t="shared" si="2"/>
        <v>December-2014</v>
      </c>
      <c r="E71" s="129" t="s">
        <v>32</v>
      </c>
      <c r="F71" s="130">
        <v>1569.6</v>
      </c>
      <c r="G71" s="130">
        <v>367.7</v>
      </c>
      <c r="H71" s="130">
        <v>234.7</v>
      </c>
      <c r="I71" s="130">
        <v>225.60000000000002</v>
      </c>
      <c r="J71" s="130">
        <v>117.4</v>
      </c>
      <c r="K71" s="130">
        <v>111.5</v>
      </c>
      <c r="L71" s="131">
        <v>113.3</v>
      </c>
      <c r="M71" s="131">
        <v>117.7</v>
      </c>
      <c r="N71" s="131">
        <v>121.7</v>
      </c>
      <c r="O71" s="131">
        <v>114.2</v>
      </c>
      <c r="P71" s="131">
        <v>120.3</v>
      </c>
      <c r="Q71" s="131">
        <f t="shared" si="3"/>
        <v>3093.3999999999996</v>
      </c>
    </row>
    <row r="72" spans="1:17" x14ac:dyDescent="0.35">
      <c r="A72" s="129" t="s">
        <v>33</v>
      </c>
      <c r="B72" s="129">
        <v>2014</v>
      </c>
      <c r="C72" s="129" t="s">
        <v>46</v>
      </c>
      <c r="D72" s="129" t="str">
        <f t="shared" si="2"/>
        <v>December-2014</v>
      </c>
      <c r="E72" s="129" t="s">
        <v>32</v>
      </c>
      <c r="F72" s="130">
        <v>1577.1999999999998</v>
      </c>
      <c r="G72" s="130">
        <v>356.5</v>
      </c>
      <c r="H72" s="130">
        <v>233.3</v>
      </c>
      <c r="I72" s="130">
        <v>223.60000000000002</v>
      </c>
      <c r="J72" s="130">
        <v>113</v>
      </c>
      <c r="K72" s="130">
        <v>108.8</v>
      </c>
      <c r="L72" s="131">
        <v>114.3</v>
      </c>
      <c r="M72" s="131">
        <v>120.7</v>
      </c>
      <c r="N72" s="131">
        <v>126.4</v>
      </c>
      <c r="O72" s="131">
        <v>113.4</v>
      </c>
      <c r="P72" s="131">
        <v>118.4</v>
      </c>
      <c r="Q72" s="131">
        <f t="shared" si="3"/>
        <v>3087.2000000000003</v>
      </c>
    </row>
    <row r="73" spans="1:17" x14ac:dyDescent="0.35">
      <c r="A73" s="129" t="s">
        <v>34</v>
      </c>
      <c r="B73" s="129">
        <v>2014</v>
      </c>
      <c r="C73" s="129" t="s">
        <v>46</v>
      </c>
      <c r="D73" s="129" t="str">
        <f t="shared" si="2"/>
        <v>December-2014</v>
      </c>
      <c r="E73" s="129" t="s">
        <v>32</v>
      </c>
      <c r="F73" s="130">
        <v>1571.6999999999998</v>
      </c>
      <c r="G73" s="130">
        <v>363.2</v>
      </c>
      <c r="H73" s="130">
        <v>234</v>
      </c>
      <c r="I73" s="130">
        <v>224.89999999999998</v>
      </c>
      <c r="J73" s="130">
        <v>115.7</v>
      </c>
      <c r="K73" s="130">
        <v>110.1</v>
      </c>
      <c r="L73" s="131">
        <v>113.9</v>
      </c>
      <c r="M73" s="131">
        <v>119.5</v>
      </c>
      <c r="N73" s="131">
        <v>123</v>
      </c>
      <c r="O73" s="131">
        <v>113.8</v>
      </c>
      <c r="P73" s="131">
        <v>119.4</v>
      </c>
      <c r="Q73" s="131">
        <f t="shared" si="3"/>
        <v>3089.7999999999997</v>
      </c>
    </row>
    <row r="74" spans="1:17" x14ac:dyDescent="0.35">
      <c r="A74" s="129" t="s">
        <v>30</v>
      </c>
      <c r="B74" s="129">
        <v>2015</v>
      </c>
      <c r="C74" s="129" t="s">
        <v>31</v>
      </c>
      <c r="D74" s="129" t="str">
        <f t="shared" si="2"/>
        <v>January-2015</v>
      </c>
      <c r="E74" s="129" t="s">
        <v>32</v>
      </c>
      <c r="F74" s="130">
        <v>1568.1</v>
      </c>
      <c r="G74" s="130">
        <v>370</v>
      </c>
      <c r="H74" s="130">
        <v>236.2</v>
      </c>
      <c r="I74" s="130">
        <v>226.8</v>
      </c>
      <c r="J74" s="130">
        <v>118.4</v>
      </c>
      <c r="K74" s="130">
        <v>111</v>
      </c>
      <c r="L74" s="131">
        <v>114</v>
      </c>
      <c r="M74" s="131">
        <v>118.2</v>
      </c>
      <c r="N74" s="131">
        <v>122.7</v>
      </c>
      <c r="O74" s="131">
        <v>114.5</v>
      </c>
      <c r="P74" s="131">
        <v>120.3</v>
      </c>
      <c r="Q74" s="131">
        <f t="shared" si="3"/>
        <v>3099.8999999999996</v>
      </c>
    </row>
    <row r="75" spans="1:17" x14ac:dyDescent="0.35">
      <c r="A75" s="129" t="s">
        <v>33</v>
      </c>
      <c r="B75" s="129">
        <v>2015</v>
      </c>
      <c r="C75" s="129" t="s">
        <v>31</v>
      </c>
      <c r="D75" s="129" t="str">
        <f t="shared" si="2"/>
        <v>January-2015</v>
      </c>
      <c r="E75" s="129" t="s">
        <v>32</v>
      </c>
      <c r="F75" s="130">
        <v>1574.8999999999999</v>
      </c>
      <c r="G75" s="130">
        <v>357.3</v>
      </c>
      <c r="H75" s="130">
        <v>234.5</v>
      </c>
      <c r="I75" s="130">
        <v>225.10000000000002</v>
      </c>
      <c r="J75" s="130">
        <v>113.4</v>
      </c>
      <c r="K75" s="130">
        <v>107.9</v>
      </c>
      <c r="L75" s="131">
        <v>114.6</v>
      </c>
      <c r="M75" s="131">
        <v>120.8</v>
      </c>
      <c r="N75" s="131">
        <v>127.4</v>
      </c>
      <c r="O75" s="131">
        <v>113.4</v>
      </c>
      <c r="P75" s="131">
        <v>118.5</v>
      </c>
      <c r="Q75" s="131">
        <f t="shared" si="3"/>
        <v>3089.3</v>
      </c>
    </row>
    <row r="76" spans="1:17" x14ac:dyDescent="0.35">
      <c r="A76" s="129" t="s">
        <v>34</v>
      </c>
      <c r="B76" s="129">
        <v>2015</v>
      </c>
      <c r="C76" s="129" t="s">
        <v>31</v>
      </c>
      <c r="D76" s="129" t="str">
        <f t="shared" si="2"/>
        <v>January-2015</v>
      </c>
      <c r="E76" s="129" t="s">
        <v>32</v>
      </c>
      <c r="F76" s="130">
        <v>1569.3</v>
      </c>
      <c r="G76" s="130">
        <v>364.9</v>
      </c>
      <c r="H76" s="130">
        <v>235.39999999999998</v>
      </c>
      <c r="I76" s="130">
        <v>226.2</v>
      </c>
      <c r="J76" s="130">
        <v>116.5</v>
      </c>
      <c r="K76" s="130">
        <v>109.4</v>
      </c>
      <c r="L76" s="131">
        <v>114.3</v>
      </c>
      <c r="M76" s="131">
        <v>119.7</v>
      </c>
      <c r="N76" s="131">
        <v>124</v>
      </c>
      <c r="O76" s="131">
        <v>114</v>
      </c>
      <c r="P76" s="131">
        <v>119.5</v>
      </c>
      <c r="Q76" s="131">
        <f t="shared" si="3"/>
        <v>3093.7</v>
      </c>
    </row>
    <row r="77" spans="1:17" x14ac:dyDescent="0.35">
      <c r="A77" s="129" t="s">
        <v>30</v>
      </c>
      <c r="B77" s="129">
        <v>2015</v>
      </c>
      <c r="C77" s="129" t="s">
        <v>35</v>
      </c>
      <c r="D77" s="129" t="str">
        <f t="shared" si="2"/>
        <v>February-2015</v>
      </c>
      <c r="E77" s="129" t="s">
        <v>32</v>
      </c>
      <c r="F77" s="130">
        <v>1570.5999999999997</v>
      </c>
      <c r="G77" s="130">
        <v>373.1</v>
      </c>
      <c r="H77" s="130">
        <v>237.7</v>
      </c>
      <c r="I77" s="130">
        <v>228.5</v>
      </c>
      <c r="J77" s="130">
        <v>120</v>
      </c>
      <c r="K77" s="130">
        <v>110.9</v>
      </c>
      <c r="L77" s="131">
        <v>114.8</v>
      </c>
      <c r="M77" s="131">
        <v>118.7</v>
      </c>
      <c r="N77" s="131">
        <v>124.2</v>
      </c>
      <c r="O77" s="131">
        <v>115</v>
      </c>
      <c r="P77" s="131">
        <v>120.6</v>
      </c>
      <c r="Q77" s="131">
        <f t="shared" si="3"/>
        <v>3113.4999999999995</v>
      </c>
    </row>
    <row r="78" spans="1:17" x14ac:dyDescent="0.35">
      <c r="A78" s="129" t="s">
        <v>33</v>
      </c>
      <c r="B78" s="129">
        <v>2015</v>
      </c>
      <c r="C78" s="129" t="s">
        <v>35</v>
      </c>
      <c r="D78" s="129" t="str">
        <f t="shared" si="2"/>
        <v>February-2015</v>
      </c>
      <c r="E78" s="129" t="s">
        <v>32</v>
      </c>
      <c r="F78" s="130">
        <v>1571.1000000000001</v>
      </c>
      <c r="G78" s="130">
        <v>358.4</v>
      </c>
      <c r="H78" s="130">
        <v>235.8</v>
      </c>
      <c r="I78" s="130">
        <v>225.8</v>
      </c>
      <c r="J78" s="130">
        <v>114</v>
      </c>
      <c r="K78" s="130">
        <v>106.8</v>
      </c>
      <c r="L78" s="131">
        <v>114.9</v>
      </c>
      <c r="M78" s="131">
        <v>120.4</v>
      </c>
      <c r="N78" s="131">
        <v>128.1</v>
      </c>
      <c r="O78" s="131">
        <v>113.2</v>
      </c>
      <c r="P78" s="131">
        <v>118.7</v>
      </c>
      <c r="Q78" s="131">
        <f t="shared" si="3"/>
        <v>3088.5000000000005</v>
      </c>
    </row>
    <row r="79" spans="1:17" x14ac:dyDescent="0.35">
      <c r="A79" s="129" t="s">
        <v>34</v>
      </c>
      <c r="B79" s="129">
        <v>2015</v>
      </c>
      <c r="C79" s="129" t="s">
        <v>35</v>
      </c>
      <c r="D79" s="129" t="str">
        <f t="shared" si="2"/>
        <v>February-2015</v>
      </c>
      <c r="E79" s="129" t="s">
        <v>32</v>
      </c>
      <c r="F79" s="130">
        <v>1569.3999999999996</v>
      </c>
      <c r="G79" s="130">
        <v>367.2</v>
      </c>
      <c r="H79" s="130">
        <v>236.8</v>
      </c>
      <c r="I79" s="130">
        <v>227.5</v>
      </c>
      <c r="J79" s="130">
        <v>117.7</v>
      </c>
      <c r="K79" s="130">
        <v>108.7</v>
      </c>
      <c r="L79" s="131">
        <v>114.9</v>
      </c>
      <c r="M79" s="131">
        <v>119.7</v>
      </c>
      <c r="N79" s="131">
        <v>125.2</v>
      </c>
      <c r="O79" s="131">
        <v>114.1</v>
      </c>
      <c r="P79" s="131">
        <v>119.7</v>
      </c>
      <c r="Q79" s="131">
        <f t="shared" si="3"/>
        <v>3101.1999999999989</v>
      </c>
    </row>
    <row r="80" spans="1:17" x14ac:dyDescent="0.35">
      <c r="A80" s="129" t="s">
        <v>30</v>
      </c>
      <c r="B80" s="129">
        <v>2015</v>
      </c>
      <c r="C80" s="129" t="s">
        <v>36</v>
      </c>
      <c r="D80" s="129" t="str">
        <f t="shared" si="2"/>
        <v>March-2015</v>
      </c>
      <c r="E80" s="129" t="s">
        <v>32</v>
      </c>
      <c r="F80" s="130">
        <v>1571.5</v>
      </c>
      <c r="G80" s="130">
        <v>374.4</v>
      </c>
      <c r="H80" s="130">
        <v>238.8</v>
      </c>
      <c r="I80" s="130">
        <v>229</v>
      </c>
      <c r="J80" s="130">
        <v>120.6</v>
      </c>
      <c r="K80" s="130">
        <v>111.6</v>
      </c>
      <c r="L80" s="131">
        <v>115.5</v>
      </c>
      <c r="M80" s="131">
        <v>119.4</v>
      </c>
      <c r="N80" s="131">
        <v>124.7</v>
      </c>
      <c r="O80" s="131">
        <v>115.5</v>
      </c>
      <c r="P80" s="131">
        <v>121.1</v>
      </c>
      <c r="Q80" s="131">
        <f t="shared" si="3"/>
        <v>3121</v>
      </c>
    </row>
    <row r="81" spans="1:17" x14ac:dyDescent="0.35">
      <c r="A81" s="129" t="s">
        <v>33</v>
      </c>
      <c r="B81" s="129">
        <v>2015</v>
      </c>
      <c r="C81" s="129" t="s">
        <v>36</v>
      </c>
      <c r="D81" s="129" t="str">
        <f t="shared" si="2"/>
        <v>March-2015</v>
      </c>
      <c r="E81" s="129" t="s">
        <v>32</v>
      </c>
      <c r="F81" s="130">
        <v>1568.0000000000002</v>
      </c>
      <c r="G81" s="130">
        <v>359.5</v>
      </c>
      <c r="H81" s="130">
        <v>236.6</v>
      </c>
      <c r="I81" s="130">
        <v>225.6</v>
      </c>
      <c r="J81" s="130">
        <v>114.4</v>
      </c>
      <c r="K81" s="130">
        <v>108.4</v>
      </c>
      <c r="L81" s="131">
        <v>115.4</v>
      </c>
      <c r="M81" s="131">
        <v>120.6</v>
      </c>
      <c r="N81" s="131">
        <v>128.80000000000001</v>
      </c>
      <c r="O81" s="131">
        <v>113.8</v>
      </c>
      <c r="P81" s="131">
        <v>119.1</v>
      </c>
      <c r="Q81" s="131">
        <f t="shared" si="3"/>
        <v>3091.1000000000008</v>
      </c>
    </row>
    <row r="82" spans="1:17" x14ac:dyDescent="0.35">
      <c r="A82" s="129" t="s">
        <v>34</v>
      </c>
      <c r="B82" s="129">
        <v>2015</v>
      </c>
      <c r="C82" s="129" t="s">
        <v>36</v>
      </c>
      <c r="D82" s="129" t="str">
        <f t="shared" si="2"/>
        <v>March-2015</v>
      </c>
      <c r="E82" s="129" t="s">
        <v>32</v>
      </c>
      <c r="F82" s="130">
        <v>1569.1</v>
      </c>
      <c r="G82" s="130">
        <v>368.4</v>
      </c>
      <c r="H82" s="130">
        <v>237.8</v>
      </c>
      <c r="I82" s="130">
        <v>227.7</v>
      </c>
      <c r="J82" s="130">
        <v>118.3</v>
      </c>
      <c r="K82" s="130">
        <v>109.9</v>
      </c>
      <c r="L82" s="131">
        <v>115.4</v>
      </c>
      <c r="M82" s="131">
        <v>120.1</v>
      </c>
      <c r="N82" s="131">
        <v>125.8</v>
      </c>
      <c r="O82" s="131">
        <v>114.7</v>
      </c>
      <c r="P82" s="131">
        <v>120.2</v>
      </c>
      <c r="Q82" s="131">
        <f t="shared" si="3"/>
        <v>3107.2000000000003</v>
      </c>
    </row>
    <row r="83" spans="1:17" x14ac:dyDescent="0.35">
      <c r="A83" s="129" t="s">
        <v>30</v>
      </c>
      <c r="B83" s="129">
        <v>2015</v>
      </c>
      <c r="C83" s="129" t="s">
        <v>37</v>
      </c>
      <c r="D83" s="129" t="str">
        <f t="shared" si="2"/>
        <v>April-2015</v>
      </c>
      <c r="E83" s="129" t="s">
        <v>32</v>
      </c>
      <c r="F83" s="130">
        <v>1577.2</v>
      </c>
      <c r="G83" s="130">
        <v>375.7</v>
      </c>
      <c r="H83" s="130">
        <v>240.10000000000002</v>
      </c>
      <c r="I83" s="130">
        <v>230.2</v>
      </c>
      <c r="J83" s="130">
        <v>121.2</v>
      </c>
      <c r="K83" s="130">
        <v>111.9</v>
      </c>
      <c r="L83" s="131">
        <v>116.2</v>
      </c>
      <c r="M83" s="131">
        <v>119.9</v>
      </c>
      <c r="N83" s="131">
        <v>125.7</v>
      </c>
      <c r="O83" s="131">
        <v>116</v>
      </c>
      <c r="P83" s="131">
        <v>121.5</v>
      </c>
      <c r="Q83" s="131">
        <f t="shared" si="3"/>
        <v>3134.0999999999995</v>
      </c>
    </row>
    <row r="84" spans="1:17" x14ac:dyDescent="0.35">
      <c r="A84" s="129" t="s">
        <v>33</v>
      </c>
      <c r="B84" s="129">
        <v>2015</v>
      </c>
      <c r="C84" s="129" t="s">
        <v>37</v>
      </c>
      <c r="D84" s="129" t="str">
        <f t="shared" si="2"/>
        <v>April-2015</v>
      </c>
      <c r="E84" s="129" t="s">
        <v>32</v>
      </c>
      <c r="F84" s="130">
        <v>1576.1</v>
      </c>
      <c r="G84" s="130">
        <v>360.6</v>
      </c>
      <c r="H84" s="130">
        <v>237.60000000000002</v>
      </c>
      <c r="I84" s="130">
        <v>226.39999999999998</v>
      </c>
      <c r="J84" s="130">
        <v>114.7</v>
      </c>
      <c r="K84" s="130">
        <v>108.4</v>
      </c>
      <c r="L84" s="131">
        <v>115.6</v>
      </c>
      <c r="M84" s="131">
        <v>121.7</v>
      </c>
      <c r="N84" s="131">
        <v>130.1</v>
      </c>
      <c r="O84" s="131">
        <v>114.2</v>
      </c>
      <c r="P84" s="131">
        <v>119.7</v>
      </c>
      <c r="Q84" s="131">
        <f t="shared" si="3"/>
        <v>3105.3999999999992</v>
      </c>
    </row>
    <row r="85" spans="1:17" x14ac:dyDescent="0.35">
      <c r="A85" s="129" t="s">
        <v>34</v>
      </c>
      <c r="B85" s="129">
        <v>2015</v>
      </c>
      <c r="C85" s="129" t="s">
        <v>37</v>
      </c>
      <c r="D85" s="129" t="str">
        <f t="shared" si="2"/>
        <v>April-2015</v>
      </c>
      <c r="E85" s="129" t="s">
        <v>32</v>
      </c>
      <c r="F85" s="130">
        <v>1575.7</v>
      </c>
      <c r="G85" s="130">
        <v>369.6</v>
      </c>
      <c r="H85" s="130">
        <v>238.9</v>
      </c>
      <c r="I85" s="130">
        <v>228.8</v>
      </c>
      <c r="J85" s="130">
        <v>118.7</v>
      </c>
      <c r="K85" s="130">
        <v>110.1</v>
      </c>
      <c r="L85" s="131">
        <v>115.9</v>
      </c>
      <c r="M85" s="131">
        <v>121</v>
      </c>
      <c r="N85" s="131">
        <v>126.9</v>
      </c>
      <c r="O85" s="131">
        <v>115.1</v>
      </c>
      <c r="P85" s="131">
        <v>120.7</v>
      </c>
      <c r="Q85" s="131">
        <f t="shared" si="3"/>
        <v>3120.7000000000003</v>
      </c>
    </row>
    <row r="86" spans="1:17" x14ac:dyDescent="0.35">
      <c r="A86" s="129" t="s">
        <v>30</v>
      </c>
      <c r="B86" s="129">
        <v>2015</v>
      </c>
      <c r="C86" s="129" t="s">
        <v>38</v>
      </c>
      <c r="D86" s="129" t="str">
        <f t="shared" si="2"/>
        <v>May-2015</v>
      </c>
      <c r="E86" s="129" t="s">
        <v>32</v>
      </c>
      <c r="F86" s="130">
        <v>1587.7</v>
      </c>
      <c r="G86" s="130">
        <v>378.2</v>
      </c>
      <c r="H86" s="130">
        <v>241.1</v>
      </c>
      <c r="I86" s="130">
        <v>231.7</v>
      </c>
      <c r="J86" s="130">
        <v>121.9</v>
      </c>
      <c r="K86" s="130">
        <v>113.3</v>
      </c>
      <c r="L86" s="131">
        <v>116.7</v>
      </c>
      <c r="M86" s="131">
        <v>120.5</v>
      </c>
      <c r="N86" s="131">
        <v>126.7</v>
      </c>
      <c r="O86" s="131">
        <v>116.9</v>
      </c>
      <c r="P86" s="131">
        <v>122.4</v>
      </c>
      <c r="Q86" s="131">
        <f t="shared" si="3"/>
        <v>3154.7</v>
      </c>
    </row>
    <row r="87" spans="1:17" x14ac:dyDescent="0.35">
      <c r="A87" s="129" t="s">
        <v>33</v>
      </c>
      <c r="B87" s="129">
        <v>2015</v>
      </c>
      <c r="C87" s="129" t="s">
        <v>38</v>
      </c>
      <c r="D87" s="129" t="str">
        <f t="shared" si="2"/>
        <v>May-2015</v>
      </c>
      <c r="E87" s="129" t="s">
        <v>32</v>
      </c>
      <c r="F87" s="130">
        <v>1598.9</v>
      </c>
      <c r="G87" s="130">
        <v>361.4</v>
      </c>
      <c r="H87" s="130">
        <v>238.3</v>
      </c>
      <c r="I87" s="130">
        <v>227.3</v>
      </c>
      <c r="J87" s="130">
        <v>114.9</v>
      </c>
      <c r="K87" s="130">
        <v>110.8</v>
      </c>
      <c r="L87" s="131">
        <v>116</v>
      </c>
      <c r="M87" s="131">
        <v>122</v>
      </c>
      <c r="N87" s="131">
        <v>131.30000000000001</v>
      </c>
      <c r="O87" s="131">
        <v>115.2</v>
      </c>
      <c r="P87" s="131">
        <v>120.7</v>
      </c>
      <c r="Q87" s="131">
        <f t="shared" si="3"/>
        <v>3136.1000000000008</v>
      </c>
    </row>
    <row r="88" spans="1:17" x14ac:dyDescent="0.35">
      <c r="A88" s="129" t="s">
        <v>34</v>
      </c>
      <c r="B88" s="129">
        <v>2015</v>
      </c>
      <c r="C88" s="129" t="s">
        <v>38</v>
      </c>
      <c r="D88" s="129" t="str">
        <f t="shared" si="2"/>
        <v>May-2015</v>
      </c>
      <c r="E88" s="129" t="s">
        <v>32</v>
      </c>
      <c r="F88" s="130">
        <v>1590.4</v>
      </c>
      <c r="G88" s="130">
        <v>371.4</v>
      </c>
      <c r="H88" s="130">
        <v>239.8</v>
      </c>
      <c r="I88" s="130">
        <v>230</v>
      </c>
      <c r="J88" s="130">
        <v>119.2</v>
      </c>
      <c r="K88" s="130">
        <v>112</v>
      </c>
      <c r="L88" s="131">
        <v>116.3</v>
      </c>
      <c r="M88" s="131">
        <v>121.4</v>
      </c>
      <c r="N88" s="131">
        <v>127.9</v>
      </c>
      <c r="O88" s="131">
        <v>116.1</v>
      </c>
      <c r="P88" s="131">
        <v>121.6</v>
      </c>
      <c r="Q88" s="131">
        <f t="shared" si="3"/>
        <v>3144.5000000000005</v>
      </c>
    </row>
    <row r="89" spans="1:17" x14ac:dyDescent="0.35">
      <c r="A89" s="129" t="s">
        <v>30</v>
      </c>
      <c r="B89" s="129">
        <v>2015</v>
      </c>
      <c r="C89" s="129" t="s">
        <v>39</v>
      </c>
      <c r="D89" s="129" t="str">
        <f t="shared" si="2"/>
        <v>June-2015</v>
      </c>
      <c r="E89" s="129" t="s">
        <v>32</v>
      </c>
      <c r="F89" s="130">
        <v>1617.8999999999999</v>
      </c>
      <c r="G89" s="130">
        <v>381.5</v>
      </c>
      <c r="H89" s="130">
        <v>241.8</v>
      </c>
      <c r="I89" s="130">
        <v>233.4</v>
      </c>
      <c r="J89" s="130">
        <v>122.6</v>
      </c>
      <c r="K89" s="130">
        <v>114.2</v>
      </c>
      <c r="L89" s="131">
        <v>117.9</v>
      </c>
      <c r="M89" s="131">
        <v>122</v>
      </c>
      <c r="N89" s="131">
        <v>128.19999999999999</v>
      </c>
      <c r="O89" s="131">
        <v>117.9</v>
      </c>
      <c r="P89" s="131">
        <v>124.1</v>
      </c>
      <c r="Q89" s="131">
        <f t="shared" si="3"/>
        <v>3197.3999999999996</v>
      </c>
    </row>
    <row r="90" spans="1:17" x14ac:dyDescent="0.35">
      <c r="A90" s="129" t="s">
        <v>33</v>
      </c>
      <c r="B90" s="129">
        <v>2015</v>
      </c>
      <c r="C90" s="129" t="s">
        <v>39</v>
      </c>
      <c r="D90" s="129" t="str">
        <f t="shared" si="2"/>
        <v>June-2015</v>
      </c>
      <c r="E90" s="129" t="s">
        <v>32</v>
      </c>
      <c r="F90" s="130">
        <v>1636.6</v>
      </c>
      <c r="G90" s="130">
        <v>363.1</v>
      </c>
      <c r="H90" s="130">
        <v>238.2</v>
      </c>
      <c r="I90" s="130">
        <v>227.9</v>
      </c>
      <c r="J90" s="130">
        <v>115.1</v>
      </c>
      <c r="K90" s="130">
        <v>111.7</v>
      </c>
      <c r="L90" s="131">
        <v>116.2</v>
      </c>
      <c r="M90" s="131">
        <v>123.8</v>
      </c>
      <c r="N90" s="131">
        <v>132.1</v>
      </c>
      <c r="O90" s="131">
        <v>116</v>
      </c>
      <c r="P90" s="131">
        <v>121.7</v>
      </c>
      <c r="Q90" s="131">
        <f t="shared" si="3"/>
        <v>3180.6999999999994</v>
      </c>
    </row>
    <row r="91" spans="1:17" x14ac:dyDescent="0.35">
      <c r="A91" s="129" t="s">
        <v>34</v>
      </c>
      <c r="B91" s="129">
        <v>2015</v>
      </c>
      <c r="C91" s="129" t="s">
        <v>39</v>
      </c>
      <c r="D91" s="129" t="str">
        <f t="shared" si="2"/>
        <v>June-2015</v>
      </c>
      <c r="E91" s="129" t="s">
        <v>32</v>
      </c>
      <c r="F91" s="130">
        <v>1623.5</v>
      </c>
      <c r="G91" s="130">
        <v>374.1</v>
      </c>
      <c r="H91" s="130">
        <v>240.1</v>
      </c>
      <c r="I91" s="130">
        <v>231.3</v>
      </c>
      <c r="J91" s="130">
        <v>119.8</v>
      </c>
      <c r="K91" s="130">
        <v>112.9</v>
      </c>
      <c r="L91" s="131">
        <v>116.9</v>
      </c>
      <c r="M91" s="131">
        <v>123.1</v>
      </c>
      <c r="N91" s="131">
        <v>129.19999999999999</v>
      </c>
      <c r="O91" s="131">
        <v>117</v>
      </c>
      <c r="P91" s="131">
        <v>123</v>
      </c>
      <c r="Q91" s="131">
        <f t="shared" si="3"/>
        <v>3187.9</v>
      </c>
    </row>
    <row r="92" spans="1:17" x14ac:dyDescent="0.35">
      <c r="A92" s="129" t="s">
        <v>30</v>
      </c>
      <c r="B92" s="129">
        <v>2015</v>
      </c>
      <c r="C92" s="129" t="s">
        <v>40</v>
      </c>
      <c r="D92" s="129" t="str">
        <f t="shared" si="2"/>
        <v>July-2015</v>
      </c>
      <c r="E92" s="129" t="s">
        <v>32</v>
      </c>
      <c r="F92" s="130">
        <v>1625.3</v>
      </c>
      <c r="G92" s="130">
        <v>382.6</v>
      </c>
      <c r="H92" s="130">
        <v>242.9</v>
      </c>
      <c r="I92" s="130">
        <v>233.5</v>
      </c>
      <c r="J92" s="130">
        <v>123</v>
      </c>
      <c r="K92" s="130">
        <v>114.1</v>
      </c>
      <c r="L92" s="131">
        <v>118</v>
      </c>
      <c r="M92" s="131">
        <v>122.9</v>
      </c>
      <c r="N92" s="131">
        <v>129.4</v>
      </c>
      <c r="O92" s="131">
        <v>118.1</v>
      </c>
      <c r="P92" s="131">
        <v>124.7</v>
      </c>
      <c r="Q92" s="131">
        <f t="shared" si="3"/>
        <v>3209.8</v>
      </c>
    </row>
    <row r="93" spans="1:17" x14ac:dyDescent="0.35">
      <c r="A93" s="129" t="s">
        <v>33</v>
      </c>
      <c r="B93" s="129">
        <v>2015</v>
      </c>
      <c r="C93" s="129" t="s">
        <v>40</v>
      </c>
      <c r="D93" s="129" t="str">
        <f t="shared" si="2"/>
        <v>July-2015</v>
      </c>
      <c r="E93" s="129" t="s">
        <v>32</v>
      </c>
      <c r="F93" s="130">
        <v>1642.8999999999999</v>
      </c>
      <c r="G93" s="130">
        <v>364.1</v>
      </c>
      <c r="H93" s="130">
        <v>239.4</v>
      </c>
      <c r="I93" s="130">
        <v>227.7</v>
      </c>
      <c r="J93" s="130">
        <v>115.3</v>
      </c>
      <c r="K93" s="130">
        <v>111.5</v>
      </c>
      <c r="L93" s="131">
        <v>116.6</v>
      </c>
      <c r="M93" s="131">
        <v>125.4</v>
      </c>
      <c r="N93" s="131">
        <v>133.1</v>
      </c>
      <c r="O93" s="131">
        <v>116.3</v>
      </c>
      <c r="P93" s="131">
        <v>122.4</v>
      </c>
      <c r="Q93" s="131">
        <f t="shared" si="3"/>
        <v>3192.3</v>
      </c>
    </row>
    <row r="94" spans="1:17" x14ac:dyDescent="0.35">
      <c r="A94" s="129" t="s">
        <v>34</v>
      </c>
      <c r="B94" s="129">
        <v>2015</v>
      </c>
      <c r="C94" s="129" t="s">
        <v>40</v>
      </c>
      <c r="D94" s="129" t="str">
        <f t="shared" si="2"/>
        <v>July-2015</v>
      </c>
      <c r="E94" s="129" t="s">
        <v>32</v>
      </c>
      <c r="F94" s="130">
        <v>1630.6000000000001</v>
      </c>
      <c r="G94" s="130">
        <v>375.1</v>
      </c>
      <c r="H94" s="130">
        <v>241.2</v>
      </c>
      <c r="I94" s="130">
        <v>231.3</v>
      </c>
      <c r="J94" s="130">
        <v>120.1</v>
      </c>
      <c r="K94" s="130">
        <v>112.7</v>
      </c>
      <c r="L94" s="131">
        <v>117.2</v>
      </c>
      <c r="M94" s="131">
        <v>124.4</v>
      </c>
      <c r="N94" s="131">
        <v>130.4</v>
      </c>
      <c r="O94" s="131">
        <v>117.2</v>
      </c>
      <c r="P94" s="131">
        <v>123.6</v>
      </c>
      <c r="Q94" s="131">
        <f t="shared" si="3"/>
        <v>3200.2</v>
      </c>
    </row>
    <row r="95" spans="1:17" x14ac:dyDescent="0.35">
      <c r="A95" s="129" t="s">
        <v>30</v>
      </c>
      <c r="B95" s="129">
        <v>2015</v>
      </c>
      <c r="C95" s="129" t="s">
        <v>41</v>
      </c>
      <c r="D95" s="129" t="str">
        <f t="shared" si="2"/>
        <v>August-2015</v>
      </c>
      <c r="E95" s="129" t="s">
        <v>32</v>
      </c>
      <c r="F95" s="130">
        <v>1646.6</v>
      </c>
      <c r="G95" s="130">
        <v>384.8</v>
      </c>
      <c r="H95" s="130">
        <v>244.60000000000002</v>
      </c>
      <c r="I95" s="130">
        <v>233.6</v>
      </c>
      <c r="J95" s="130">
        <v>123.8</v>
      </c>
      <c r="K95" s="130">
        <v>113.6</v>
      </c>
      <c r="L95" s="131">
        <v>118.5</v>
      </c>
      <c r="M95" s="131">
        <v>123.6</v>
      </c>
      <c r="N95" s="131">
        <v>130.1</v>
      </c>
      <c r="O95" s="131">
        <v>118.2</v>
      </c>
      <c r="P95" s="131">
        <v>126.1</v>
      </c>
      <c r="Q95" s="131">
        <f t="shared" si="3"/>
        <v>3237.3999999999996</v>
      </c>
    </row>
    <row r="96" spans="1:17" x14ac:dyDescent="0.35">
      <c r="A96" s="129" t="s">
        <v>33</v>
      </c>
      <c r="B96" s="129">
        <v>2015</v>
      </c>
      <c r="C96" s="129" t="s">
        <v>41</v>
      </c>
      <c r="D96" s="129" t="str">
        <f t="shared" si="2"/>
        <v>August-2015</v>
      </c>
      <c r="E96" s="129" t="s">
        <v>32</v>
      </c>
      <c r="F96" s="130">
        <v>1658.8999999999999</v>
      </c>
      <c r="G96" s="130">
        <v>364.8</v>
      </c>
      <c r="H96" s="130">
        <v>240.9</v>
      </c>
      <c r="I96" s="130">
        <v>228.6</v>
      </c>
      <c r="J96" s="130">
        <v>115.3</v>
      </c>
      <c r="K96" s="130">
        <v>109.9</v>
      </c>
      <c r="L96" s="131">
        <v>117.2</v>
      </c>
      <c r="M96" s="131">
        <v>126.2</v>
      </c>
      <c r="N96" s="131">
        <v>134.19999999999999</v>
      </c>
      <c r="O96" s="131">
        <v>116.2</v>
      </c>
      <c r="P96" s="131">
        <v>123.2</v>
      </c>
      <c r="Q96" s="131">
        <f t="shared" si="3"/>
        <v>3212.1999999999994</v>
      </c>
    </row>
    <row r="97" spans="1:17" x14ac:dyDescent="0.35">
      <c r="A97" s="129" t="s">
        <v>34</v>
      </c>
      <c r="B97" s="129">
        <v>2015</v>
      </c>
      <c r="C97" s="129" t="s">
        <v>41</v>
      </c>
      <c r="D97" s="129" t="str">
        <f t="shared" si="2"/>
        <v>August-2015</v>
      </c>
      <c r="E97" s="129" t="s">
        <v>32</v>
      </c>
      <c r="F97" s="130">
        <v>1649.6</v>
      </c>
      <c r="G97" s="130">
        <v>376.70000000000005</v>
      </c>
      <c r="H97" s="130">
        <v>242.9</v>
      </c>
      <c r="I97" s="130">
        <v>231.7</v>
      </c>
      <c r="J97" s="130">
        <v>120.6</v>
      </c>
      <c r="K97" s="130">
        <v>111.7</v>
      </c>
      <c r="L97" s="131">
        <v>117.8</v>
      </c>
      <c r="M97" s="131">
        <v>125.1</v>
      </c>
      <c r="N97" s="131">
        <v>131.19999999999999</v>
      </c>
      <c r="O97" s="131">
        <v>117.2</v>
      </c>
      <c r="P97" s="131">
        <v>124.8</v>
      </c>
      <c r="Q97" s="131">
        <f t="shared" si="3"/>
        <v>3224.4999999999991</v>
      </c>
    </row>
    <row r="98" spans="1:17" x14ac:dyDescent="0.35">
      <c r="A98" s="129" t="s">
        <v>30</v>
      </c>
      <c r="B98" s="129">
        <v>2015</v>
      </c>
      <c r="C98" s="129" t="s">
        <v>42</v>
      </c>
      <c r="D98" s="129" t="str">
        <f t="shared" si="2"/>
        <v>September-2015</v>
      </c>
      <c r="E98" s="129" t="s">
        <v>32</v>
      </c>
      <c r="F98" s="130">
        <v>1657.6000000000001</v>
      </c>
      <c r="G98" s="130">
        <v>387.1</v>
      </c>
      <c r="H98" s="130">
        <v>246.1</v>
      </c>
      <c r="I98" s="130">
        <v>235.10000000000002</v>
      </c>
      <c r="J98" s="130">
        <v>123.7</v>
      </c>
      <c r="K98" s="130">
        <v>113.8</v>
      </c>
      <c r="L98" s="131">
        <v>119.6</v>
      </c>
      <c r="M98" s="131">
        <v>124.5</v>
      </c>
      <c r="N98" s="131">
        <v>131</v>
      </c>
      <c r="O98" s="131">
        <v>118.8</v>
      </c>
      <c r="P98" s="131">
        <v>127</v>
      </c>
      <c r="Q98" s="131">
        <f t="shared" si="3"/>
        <v>3257.3</v>
      </c>
    </row>
    <row r="99" spans="1:17" x14ac:dyDescent="0.35">
      <c r="A99" s="129" t="s">
        <v>33</v>
      </c>
      <c r="B99" s="129">
        <v>2015</v>
      </c>
      <c r="C99" s="129" t="s">
        <v>42</v>
      </c>
      <c r="D99" s="129" t="str">
        <f t="shared" si="2"/>
        <v>September-2015</v>
      </c>
      <c r="E99" s="129" t="s">
        <v>32</v>
      </c>
      <c r="F99" s="130">
        <v>1664.8</v>
      </c>
      <c r="G99" s="130">
        <v>365.8</v>
      </c>
      <c r="H99" s="130">
        <v>242</v>
      </c>
      <c r="I99" s="130">
        <v>230</v>
      </c>
      <c r="J99" s="130">
        <v>115.1</v>
      </c>
      <c r="K99" s="130">
        <v>109.1</v>
      </c>
      <c r="L99" s="131">
        <v>117.3</v>
      </c>
      <c r="M99" s="131">
        <v>126.5</v>
      </c>
      <c r="N99" s="131">
        <v>134.69999999999999</v>
      </c>
      <c r="O99" s="131">
        <v>116.2</v>
      </c>
      <c r="P99" s="131">
        <v>123.5</v>
      </c>
      <c r="Q99" s="131">
        <f t="shared" si="3"/>
        <v>3221.4999999999995</v>
      </c>
    </row>
    <row r="100" spans="1:17" x14ac:dyDescent="0.35">
      <c r="A100" s="129" t="s">
        <v>34</v>
      </c>
      <c r="B100" s="129">
        <v>2015</v>
      </c>
      <c r="C100" s="129" t="s">
        <v>42</v>
      </c>
      <c r="D100" s="129" t="str">
        <f t="shared" si="2"/>
        <v>September-2015</v>
      </c>
      <c r="E100" s="129" t="s">
        <v>32</v>
      </c>
      <c r="F100" s="130">
        <v>1658.3000000000002</v>
      </c>
      <c r="G100" s="130">
        <v>378.5</v>
      </c>
      <c r="H100" s="130">
        <v>244.2</v>
      </c>
      <c r="I100" s="130">
        <v>233.2</v>
      </c>
      <c r="J100" s="130">
        <v>120.4</v>
      </c>
      <c r="K100" s="130">
        <v>111.3</v>
      </c>
      <c r="L100" s="131">
        <v>118.3</v>
      </c>
      <c r="M100" s="131">
        <v>125.7</v>
      </c>
      <c r="N100" s="131">
        <v>132</v>
      </c>
      <c r="O100" s="131">
        <v>117.5</v>
      </c>
      <c r="P100" s="131">
        <v>125.4</v>
      </c>
      <c r="Q100" s="131">
        <f t="shared" si="3"/>
        <v>3239.4</v>
      </c>
    </row>
    <row r="101" spans="1:17" x14ac:dyDescent="0.35">
      <c r="A101" s="129" t="s">
        <v>30</v>
      </c>
      <c r="B101" s="129">
        <v>2015</v>
      </c>
      <c r="C101" s="129" t="s">
        <v>43</v>
      </c>
      <c r="D101" s="129" t="str">
        <f t="shared" si="2"/>
        <v>October-2015</v>
      </c>
      <c r="E101" s="129" t="s">
        <v>32</v>
      </c>
      <c r="F101" s="130">
        <v>1674.6</v>
      </c>
      <c r="G101" s="130">
        <v>389</v>
      </c>
      <c r="H101" s="130">
        <v>247.5</v>
      </c>
      <c r="I101" s="130">
        <v>236.2</v>
      </c>
      <c r="J101" s="130">
        <v>124.4</v>
      </c>
      <c r="K101" s="130">
        <v>113.8</v>
      </c>
      <c r="L101" s="131">
        <v>120.1</v>
      </c>
      <c r="M101" s="131">
        <v>125.1</v>
      </c>
      <c r="N101" s="131">
        <v>131.5</v>
      </c>
      <c r="O101" s="131">
        <v>119.2</v>
      </c>
      <c r="P101" s="131">
        <v>127.7</v>
      </c>
      <c r="Q101" s="131">
        <f t="shared" si="3"/>
        <v>3281.3999999999996</v>
      </c>
    </row>
    <row r="102" spans="1:17" x14ac:dyDescent="0.35">
      <c r="A102" s="129" t="s">
        <v>33</v>
      </c>
      <c r="B102" s="129">
        <v>2015</v>
      </c>
      <c r="C102" s="129" t="s">
        <v>43</v>
      </c>
      <c r="D102" s="129" t="str">
        <f t="shared" si="2"/>
        <v>October-2015</v>
      </c>
      <c r="E102" s="129" t="s">
        <v>32</v>
      </c>
      <c r="F102" s="130">
        <v>1692.8000000000002</v>
      </c>
      <c r="G102" s="130">
        <v>366.79999999999995</v>
      </c>
      <c r="H102" s="130">
        <v>243.10000000000002</v>
      </c>
      <c r="I102" s="130">
        <v>231.2</v>
      </c>
      <c r="J102" s="130">
        <v>114.9</v>
      </c>
      <c r="K102" s="130">
        <v>109.3</v>
      </c>
      <c r="L102" s="131">
        <v>117.7</v>
      </c>
      <c r="M102" s="131">
        <v>126.5</v>
      </c>
      <c r="N102" s="131">
        <v>135.30000000000001</v>
      </c>
      <c r="O102" s="131">
        <v>116.5</v>
      </c>
      <c r="P102" s="131">
        <v>124.2</v>
      </c>
      <c r="Q102" s="131">
        <f t="shared" si="3"/>
        <v>3254.1000000000004</v>
      </c>
    </row>
    <row r="103" spans="1:17" x14ac:dyDescent="0.35">
      <c r="A103" s="129" t="s">
        <v>34</v>
      </c>
      <c r="B103" s="129">
        <v>2015</v>
      </c>
      <c r="C103" s="129" t="s">
        <v>43</v>
      </c>
      <c r="D103" s="129" t="str">
        <f t="shared" si="2"/>
        <v>October-2015</v>
      </c>
      <c r="E103" s="129" t="s">
        <v>32</v>
      </c>
      <c r="F103" s="130">
        <v>1678.9999999999998</v>
      </c>
      <c r="G103" s="130">
        <v>380.1</v>
      </c>
      <c r="H103" s="130">
        <v>245.4</v>
      </c>
      <c r="I103" s="130">
        <v>234.3</v>
      </c>
      <c r="J103" s="130">
        <v>120.8</v>
      </c>
      <c r="K103" s="130">
        <v>111.4</v>
      </c>
      <c r="L103" s="131">
        <v>118.7</v>
      </c>
      <c r="M103" s="131">
        <v>125.9</v>
      </c>
      <c r="N103" s="131">
        <v>132.5</v>
      </c>
      <c r="O103" s="131">
        <v>117.9</v>
      </c>
      <c r="P103" s="131">
        <v>126.1</v>
      </c>
      <c r="Q103" s="131">
        <f t="shared" si="3"/>
        <v>3266.0000000000005</v>
      </c>
    </row>
    <row r="104" spans="1:17" x14ac:dyDescent="0.35">
      <c r="A104" s="129" t="s">
        <v>30</v>
      </c>
      <c r="B104" s="129">
        <v>2015</v>
      </c>
      <c r="C104" s="129" t="s">
        <v>45</v>
      </c>
      <c r="D104" s="129" t="str">
        <f t="shared" si="2"/>
        <v>November-2015</v>
      </c>
      <c r="E104" s="129" t="s">
        <v>32</v>
      </c>
      <c r="F104" s="130">
        <v>1686.3</v>
      </c>
      <c r="G104" s="130">
        <v>391.79999999999995</v>
      </c>
      <c r="H104" s="130">
        <v>248.5</v>
      </c>
      <c r="I104" s="130">
        <v>236.8</v>
      </c>
      <c r="J104" s="130">
        <v>125.6</v>
      </c>
      <c r="K104" s="130">
        <v>114</v>
      </c>
      <c r="L104" s="131">
        <v>120.9</v>
      </c>
      <c r="M104" s="131">
        <v>125.8</v>
      </c>
      <c r="N104" s="131">
        <v>132.19999999999999</v>
      </c>
      <c r="O104" s="131">
        <v>119.6</v>
      </c>
      <c r="P104" s="131">
        <v>128.30000000000001</v>
      </c>
      <c r="Q104" s="131">
        <f t="shared" si="3"/>
        <v>3301.5</v>
      </c>
    </row>
    <row r="105" spans="1:17" x14ac:dyDescent="0.35">
      <c r="A105" s="129" t="s">
        <v>33</v>
      </c>
      <c r="B105" s="129">
        <v>2015</v>
      </c>
      <c r="C105" s="129" t="s">
        <v>45</v>
      </c>
      <c r="D105" s="129" t="str">
        <f t="shared" si="2"/>
        <v>November-2015</v>
      </c>
      <c r="E105" s="129" t="s">
        <v>32</v>
      </c>
      <c r="F105" s="130">
        <v>1708.4999999999998</v>
      </c>
      <c r="G105" s="130">
        <v>368.5</v>
      </c>
      <c r="H105" s="130">
        <v>243.9</v>
      </c>
      <c r="I105" s="130">
        <v>231.39999999999998</v>
      </c>
      <c r="J105" s="130">
        <v>115.1</v>
      </c>
      <c r="K105" s="130">
        <v>109.3</v>
      </c>
      <c r="L105" s="131">
        <v>117.9</v>
      </c>
      <c r="M105" s="131">
        <v>126.6</v>
      </c>
      <c r="N105" s="131">
        <v>137.6</v>
      </c>
      <c r="O105" s="131">
        <v>116.6</v>
      </c>
      <c r="P105" s="131">
        <v>124.6</v>
      </c>
      <c r="Q105" s="131">
        <f t="shared" si="3"/>
        <v>3275.4</v>
      </c>
    </row>
    <row r="106" spans="1:17" x14ac:dyDescent="0.35">
      <c r="A106" s="129" t="s">
        <v>34</v>
      </c>
      <c r="B106" s="129">
        <v>2015</v>
      </c>
      <c r="C106" s="129" t="s">
        <v>45</v>
      </c>
      <c r="D106" s="129" t="str">
        <f t="shared" si="2"/>
        <v>November-2015</v>
      </c>
      <c r="E106" s="129" t="s">
        <v>32</v>
      </c>
      <c r="F106" s="130">
        <v>1692.1</v>
      </c>
      <c r="G106" s="130">
        <v>382.4</v>
      </c>
      <c r="H106" s="130">
        <v>246.3</v>
      </c>
      <c r="I106" s="130">
        <v>234.7</v>
      </c>
      <c r="J106" s="130">
        <v>121.6</v>
      </c>
      <c r="K106" s="130">
        <v>111.5</v>
      </c>
      <c r="L106" s="131">
        <v>119.2</v>
      </c>
      <c r="M106" s="131">
        <v>126.3</v>
      </c>
      <c r="N106" s="131">
        <v>133.6</v>
      </c>
      <c r="O106" s="131">
        <v>118.1</v>
      </c>
      <c r="P106" s="131">
        <v>126.6</v>
      </c>
      <c r="Q106" s="131">
        <f t="shared" si="3"/>
        <v>3285.7999999999997</v>
      </c>
    </row>
    <row r="107" spans="1:17" x14ac:dyDescent="0.35">
      <c r="A107" s="129" t="s">
        <v>30</v>
      </c>
      <c r="B107" s="129">
        <v>2015</v>
      </c>
      <c r="C107" s="129" t="s">
        <v>46</v>
      </c>
      <c r="D107" s="129" t="str">
        <f t="shared" si="2"/>
        <v>December-2015</v>
      </c>
      <c r="E107" s="129" t="s">
        <v>32</v>
      </c>
      <c r="F107" s="130">
        <v>1682.3000000000002</v>
      </c>
      <c r="G107" s="130">
        <v>392.9</v>
      </c>
      <c r="H107" s="130">
        <v>248.4</v>
      </c>
      <c r="I107" s="130">
        <v>237.2</v>
      </c>
      <c r="J107" s="130">
        <v>125.7</v>
      </c>
      <c r="K107" s="130">
        <v>114</v>
      </c>
      <c r="L107" s="131">
        <v>121.6</v>
      </c>
      <c r="M107" s="131">
        <v>125.6</v>
      </c>
      <c r="N107" s="131">
        <v>133.1</v>
      </c>
      <c r="O107" s="131">
        <v>119.8</v>
      </c>
      <c r="P107" s="131">
        <v>127.9</v>
      </c>
      <c r="Q107" s="131">
        <f t="shared" si="3"/>
        <v>3300.6</v>
      </c>
    </row>
    <row r="108" spans="1:17" x14ac:dyDescent="0.35">
      <c r="A108" s="129" t="s">
        <v>33</v>
      </c>
      <c r="B108" s="129">
        <v>2015</v>
      </c>
      <c r="C108" s="129" t="s">
        <v>46</v>
      </c>
      <c r="D108" s="129" t="str">
        <f t="shared" si="2"/>
        <v>December-2015</v>
      </c>
      <c r="E108" s="129" t="s">
        <v>32</v>
      </c>
      <c r="F108" s="130">
        <v>1698.8</v>
      </c>
      <c r="G108" s="130">
        <v>369.4</v>
      </c>
      <c r="H108" s="130">
        <v>243.4</v>
      </c>
      <c r="I108" s="130">
        <v>231.8</v>
      </c>
      <c r="J108" s="130">
        <v>116</v>
      </c>
      <c r="K108" s="130">
        <v>109.3</v>
      </c>
      <c r="L108" s="131">
        <v>118.1</v>
      </c>
      <c r="M108" s="131">
        <v>126.6</v>
      </c>
      <c r="N108" s="131">
        <v>138.19999999999999</v>
      </c>
      <c r="O108" s="131">
        <v>116.7</v>
      </c>
      <c r="P108" s="131">
        <v>124</v>
      </c>
      <c r="Q108" s="131">
        <f t="shared" si="3"/>
        <v>3268.2999999999997</v>
      </c>
    </row>
    <row r="109" spans="1:17" x14ac:dyDescent="0.35">
      <c r="A109" s="129" t="s">
        <v>34</v>
      </c>
      <c r="B109" s="129">
        <v>2015</v>
      </c>
      <c r="C109" s="129" t="s">
        <v>46</v>
      </c>
      <c r="D109" s="129" t="str">
        <f t="shared" si="2"/>
        <v>December-2015</v>
      </c>
      <c r="E109" s="129" t="s">
        <v>32</v>
      </c>
      <c r="F109" s="130">
        <v>1686.1000000000001</v>
      </c>
      <c r="G109" s="130">
        <v>383.5</v>
      </c>
      <c r="H109" s="130">
        <v>246</v>
      </c>
      <c r="I109" s="130">
        <v>235.10000000000002</v>
      </c>
      <c r="J109" s="130">
        <v>122</v>
      </c>
      <c r="K109" s="130">
        <v>111.5</v>
      </c>
      <c r="L109" s="131">
        <v>119.6</v>
      </c>
      <c r="M109" s="131">
        <v>126.2</v>
      </c>
      <c r="N109" s="131">
        <v>134.5</v>
      </c>
      <c r="O109" s="131">
        <v>118.3</v>
      </c>
      <c r="P109" s="131">
        <v>126.1</v>
      </c>
      <c r="Q109" s="131">
        <f t="shared" si="3"/>
        <v>3282.8</v>
      </c>
    </row>
    <row r="110" spans="1:17" x14ac:dyDescent="0.35">
      <c r="A110" s="129" t="s">
        <v>30</v>
      </c>
      <c r="B110" s="129">
        <v>2016</v>
      </c>
      <c r="C110" s="129" t="s">
        <v>31</v>
      </c>
      <c r="D110" s="129" t="str">
        <f t="shared" si="2"/>
        <v>January-2016</v>
      </c>
      <c r="E110" s="129" t="s">
        <v>32</v>
      </c>
      <c r="F110" s="130">
        <v>1690.1000000000001</v>
      </c>
      <c r="G110" s="130">
        <v>394.70000000000005</v>
      </c>
      <c r="H110" s="130">
        <v>250</v>
      </c>
      <c r="I110" s="130">
        <v>238.60000000000002</v>
      </c>
      <c r="J110" s="130">
        <v>126.2</v>
      </c>
      <c r="K110" s="130">
        <v>113.6</v>
      </c>
      <c r="L110" s="131">
        <v>121.4</v>
      </c>
      <c r="M110" s="131">
        <v>126.2</v>
      </c>
      <c r="N110" s="131">
        <v>133.6</v>
      </c>
      <c r="O110" s="131">
        <v>120.1</v>
      </c>
      <c r="P110" s="131">
        <v>128.1</v>
      </c>
      <c r="Q110" s="131">
        <f t="shared" si="3"/>
        <v>3314.4999999999995</v>
      </c>
    </row>
    <row r="111" spans="1:17" x14ac:dyDescent="0.35">
      <c r="A111" s="129" t="s">
        <v>33</v>
      </c>
      <c r="B111" s="129">
        <v>2016</v>
      </c>
      <c r="C111" s="129" t="s">
        <v>31</v>
      </c>
      <c r="D111" s="129" t="str">
        <f t="shared" si="2"/>
        <v>January-2016</v>
      </c>
      <c r="E111" s="129" t="s">
        <v>32</v>
      </c>
      <c r="F111" s="130">
        <v>1701.4</v>
      </c>
      <c r="G111" s="130">
        <v>370.5</v>
      </c>
      <c r="H111" s="130">
        <v>245</v>
      </c>
      <c r="I111" s="130">
        <v>233.1</v>
      </c>
      <c r="J111" s="130">
        <v>116.9</v>
      </c>
      <c r="K111" s="130">
        <v>108.9</v>
      </c>
      <c r="L111" s="131">
        <v>118.5</v>
      </c>
      <c r="M111" s="131">
        <v>126.4</v>
      </c>
      <c r="N111" s="131">
        <v>139.5</v>
      </c>
      <c r="O111" s="131">
        <v>116.8</v>
      </c>
      <c r="P111" s="131">
        <v>124.2</v>
      </c>
      <c r="Q111" s="131">
        <f t="shared" si="3"/>
        <v>3277.0000000000005</v>
      </c>
    </row>
    <row r="112" spans="1:17" x14ac:dyDescent="0.35">
      <c r="A112" s="129" t="s">
        <v>34</v>
      </c>
      <c r="B112" s="129">
        <v>2016</v>
      </c>
      <c r="C112" s="129" t="s">
        <v>31</v>
      </c>
      <c r="D112" s="129" t="str">
        <f t="shared" si="2"/>
        <v>January-2016</v>
      </c>
      <c r="E112" s="129" t="s">
        <v>32</v>
      </c>
      <c r="F112" s="130">
        <v>1691.7</v>
      </c>
      <c r="G112" s="130">
        <v>384.9</v>
      </c>
      <c r="H112" s="130">
        <v>247.60000000000002</v>
      </c>
      <c r="I112" s="130">
        <v>236.5</v>
      </c>
      <c r="J112" s="130">
        <v>122.7</v>
      </c>
      <c r="K112" s="130">
        <v>111.1</v>
      </c>
      <c r="L112" s="131">
        <v>119.8</v>
      </c>
      <c r="M112" s="131">
        <v>126.3</v>
      </c>
      <c r="N112" s="131">
        <v>135.19999999999999</v>
      </c>
      <c r="O112" s="131">
        <v>118.5</v>
      </c>
      <c r="P112" s="131">
        <v>126.3</v>
      </c>
      <c r="Q112" s="131">
        <f t="shared" si="3"/>
        <v>3294.2999999999997</v>
      </c>
    </row>
    <row r="113" spans="1:17" x14ac:dyDescent="0.35">
      <c r="A113" s="129" t="s">
        <v>30</v>
      </c>
      <c r="B113" s="129">
        <v>2016</v>
      </c>
      <c r="C113" s="129" t="s">
        <v>35</v>
      </c>
      <c r="D113" s="129" t="str">
        <f t="shared" si="2"/>
        <v>February-2016</v>
      </c>
      <c r="E113" s="129" t="s">
        <v>32</v>
      </c>
      <c r="F113" s="130">
        <v>1682.6</v>
      </c>
      <c r="G113" s="130">
        <v>397.1</v>
      </c>
      <c r="H113" s="130">
        <v>251.5</v>
      </c>
      <c r="I113" s="130">
        <v>241.1</v>
      </c>
      <c r="J113" s="130">
        <v>127.5</v>
      </c>
      <c r="K113" s="130">
        <v>113.9</v>
      </c>
      <c r="L113" s="131">
        <v>122.3</v>
      </c>
      <c r="M113" s="131">
        <v>127.1</v>
      </c>
      <c r="N113" s="131">
        <v>134.4</v>
      </c>
      <c r="O113" s="131">
        <v>120.9</v>
      </c>
      <c r="P113" s="131">
        <v>127.9</v>
      </c>
      <c r="Q113" s="131">
        <f t="shared" si="3"/>
        <v>3318.4</v>
      </c>
    </row>
    <row r="114" spans="1:17" x14ac:dyDescent="0.35">
      <c r="A114" s="129" t="s">
        <v>33</v>
      </c>
      <c r="B114" s="129">
        <v>2016</v>
      </c>
      <c r="C114" s="129" t="s">
        <v>35</v>
      </c>
      <c r="D114" s="129" t="str">
        <f t="shared" si="2"/>
        <v>February-2016</v>
      </c>
      <c r="E114" s="129" t="s">
        <v>32</v>
      </c>
      <c r="F114" s="130">
        <v>1676.1</v>
      </c>
      <c r="G114" s="130">
        <v>371.6</v>
      </c>
      <c r="H114" s="130">
        <v>246.2</v>
      </c>
      <c r="I114" s="130">
        <v>235.7</v>
      </c>
      <c r="J114" s="130">
        <v>116</v>
      </c>
      <c r="K114" s="130">
        <v>109.1</v>
      </c>
      <c r="L114" s="131">
        <v>118.8</v>
      </c>
      <c r="M114" s="131">
        <v>126.3</v>
      </c>
      <c r="N114" s="131">
        <v>140</v>
      </c>
      <c r="O114" s="131">
        <v>117.2</v>
      </c>
      <c r="P114" s="131">
        <v>123.8</v>
      </c>
      <c r="Q114" s="131">
        <f t="shared" si="3"/>
        <v>3256.9999999999995</v>
      </c>
    </row>
    <row r="115" spans="1:17" x14ac:dyDescent="0.35">
      <c r="A115" s="129" t="s">
        <v>34</v>
      </c>
      <c r="B115" s="129">
        <v>2016</v>
      </c>
      <c r="C115" s="129" t="s">
        <v>35</v>
      </c>
      <c r="D115" s="129" t="str">
        <f t="shared" si="2"/>
        <v>February-2016</v>
      </c>
      <c r="E115" s="129" t="s">
        <v>32</v>
      </c>
      <c r="F115" s="130">
        <v>1678.1</v>
      </c>
      <c r="G115" s="130">
        <v>386.9</v>
      </c>
      <c r="H115" s="130">
        <v>249</v>
      </c>
      <c r="I115" s="130">
        <v>239.1</v>
      </c>
      <c r="J115" s="130">
        <v>123.1</v>
      </c>
      <c r="K115" s="130">
        <v>111.4</v>
      </c>
      <c r="L115" s="131">
        <v>120.3</v>
      </c>
      <c r="M115" s="131">
        <v>126.6</v>
      </c>
      <c r="N115" s="131">
        <v>135.9</v>
      </c>
      <c r="O115" s="131">
        <v>119.1</v>
      </c>
      <c r="P115" s="131">
        <v>126</v>
      </c>
      <c r="Q115" s="131">
        <f t="shared" si="3"/>
        <v>3289.5</v>
      </c>
    </row>
    <row r="116" spans="1:17" x14ac:dyDescent="0.35">
      <c r="A116" s="129" t="s">
        <v>30</v>
      </c>
      <c r="B116" s="129">
        <v>2016</v>
      </c>
      <c r="C116" s="129" t="s">
        <v>36</v>
      </c>
      <c r="D116" s="129" t="str">
        <f t="shared" si="2"/>
        <v>March-2016</v>
      </c>
      <c r="E116" s="129" t="s">
        <v>32</v>
      </c>
      <c r="F116" s="130">
        <v>1682.7000000000003</v>
      </c>
      <c r="G116" s="130">
        <v>398.40000000000003</v>
      </c>
      <c r="H116" s="130">
        <v>252.60000000000002</v>
      </c>
      <c r="I116" s="130">
        <v>242.2</v>
      </c>
      <c r="J116" s="130">
        <v>127</v>
      </c>
      <c r="K116" s="130">
        <v>113.6</v>
      </c>
      <c r="L116" s="131">
        <v>122.5</v>
      </c>
      <c r="M116" s="131">
        <v>127.5</v>
      </c>
      <c r="N116" s="131">
        <v>135</v>
      </c>
      <c r="O116" s="131">
        <v>121.1</v>
      </c>
      <c r="P116" s="131">
        <v>128</v>
      </c>
      <c r="Q116" s="131">
        <f t="shared" si="3"/>
        <v>3322.6</v>
      </c>
    </row>
    <row r="117" spans="1:17" x14ac:dyDescent="0.35">
      <c r="A117" s="129" t="s">
        <v>33</v>
      </c>
      <c r="B117" s="129">
        <v>2016</v>
      </c>
      <c r="C117" s="129" t="s">
        <v>36</v>
      </c>
      <c r="D117" s="129" t="str">
        <f t="shared" si="2"/>
        <v>March-2016</v>
      </c>
      <c r="E117" s="129" t="s">
        <v>32</v>
      </c>
      <c r="F117" s="130">
        <v>1667.6000000000001</v>
      </c>
      <c r="G117" s="130">
        <v>372.2</v>
      </c>
      <c r="H117" s="130">
        <v>247.2</v>
      </c>
      <c r="I117" s="130">
        <v>236.8</v>
      </c>
      <c r="J117" s="130">
        <v>114.8</v>
      </c>
      <c r="K117" s="130">
        <v>108.5</v>
      </c>
      <c r="L117" s="131">
        <v>119.1</v>
      </c>
      <c r="M117" s="131">
        <v>126.4</v>
      </c>
      <c r="N117" s="131">
        <v>140.6</v>
      </c>
      <c r="O117" s="131">
        <v>117.3</v>
      </c>
      <c r="P117" s="131">
        <v>123.8</v>
      </c>
      <c r="Q117" s="131">
        <f t="shared" si="3"/>
        <v>3250.5000000000005</v>
      </c>
    </row>
    <row r="118" spans="1:17" x14ac:dyDescent="0.35">
      <c r="A118" s="129" t="s">
        <v>34</v>
      </c>
      <c r="B118" s="129">
        <v>2016</v>
      </c>
      <c r="C118" s="129" t="s">
        <v>36</v>
      </c>
      <c r="D118" s="129" t="str">
        <f t="shared" si="2"/>
        <v>March-2016</v>
      </c>
      <c r="E118" s="129" t="s">
        <v>32</v>
      </c>
      <c r="F118" s="130">
        <v>1675.2</v>
      </c>
      <c r="G118" s="130">
        <v>387.9</v>
      </c>
      <c r="H118" s="130">
        <v>250</v>
      </c>
      <c r="I118" s="130">
        <v>240.2</v>
      </c>
      <c r="J118" s="130">
        <v>122.4</v>
      </c>
      <c r="K118" s="130">
        <v>110.9</v>
      </c>
      <c r="L118" s="131">
        <v>120.6</v>
      </c>
      <c r="M118" s="131">
        <v>126.9</v>
      </c>
      <c r="N118" s="131">
        <v>136.5</v>
      </c>
      <c r="O118" s="131">
        <v>119.3</v>
      </c>
      <c r="P118" s="131">
        <v>126</v>
      </c>
      <c r="Q118" s="131">
        <f t="shared" si="3"/>
        <v>3289.9</v>
      </c>
    </row>
    <row r="119" spans="1:17" x14ac:dyDescent="0.35">
      <c r="A119" s="129" t="s">
        <v>30</v>
      </c>
      <c r="B119" s="129">
        <v>2016</v>
      </c>
      <c r="C119" s="129" t="s">
        <v>37</v>
      </c>
      <c r="D119" s="129" t="str">
        <f t="shared" si="2"/>
        <v>April-2016</v>
      </c>
      <c r="E119" s="129" t="s">
        <v>32</v>
      </c>
      <c r="F119" s="130">
        <v>1701.6000000000004</v>
      </c>
      <c r="G119" s="130">
        <v>400</v>
      </c>
      <c r="H119" s="130">
        <v>253.6</v>
      </c>
      <c r="I119" s="130">
        <v>243.60000000000002</v>
      </c>
      <c r="J119" s="130">
        <v>127</v>
      </c>
      <c r="K119" s="130">
        <v>114.4</v>
      </c>
      <c r="L119" s="131">
        <v>123.2</v>
      </c>
      <c r="M119" s="131">
        <v>127.9</v>
      </c>
      <c r="N119" s="131">
        <v>135.5</v>
      </c>
      <c r="O119" s="131">
        <v>121.7</v>
      </c>
      <c r="P119" s="131">
        <v>129</v>
      </c>
      <c r="Q119" s="131">
        <f t="shared" si="3"/>
        <v>3348.5</v>
      </c>
    </row>
    <row r="120" spans="1:17" x14ac:dyDescent="0.35">
      <c r="A120" s="129" t="s">
        <v>33</v>
      </c>
      <c r="B120" s="129">
        <v>2016</v>
      </c>
      <c r="C120" s="129" t="s">
        <v>37</v>
      </c>
      <c r="D120" s="129" t="str">
        <f t="shared" si="2"/>
        <v>April-2016</v>
      </c>
      <c r="E120" s="129" t="s">
        <v>32</v>
      </c>
      <c r="F120" s="130">
        <v>1706.3</v>
      </c>
      <c r="G120" s="130">
        <v>373.1</v>
      </c>
      <c r="H120" s="130">
        <v>248.39999999999998</v>
      </c>
      <c r="I120" s="130">
        <v>237.6</v>
      </c>
      <c r="J120" s="130">
        <v>114.6</v>
      </c>
      <c r="K120" s="130">
        <v>110</v>
      </c>
      <c r="L120" s="131">
        <v>119.5</v>
      </c>
      <c r="M120" s="131">
        <v>127.6</v>
      </c>
      <c r="N120" s="131">
        <v>141.5</v>
      </c>
      <c r="O120" s="131">
        <v>118.2</v>
      </c>
      <c r="P120" s="131">
        <v>125.3</v>
      </c>
      <c r="Q120" s="131">
        <f t="shared" si="3"/>
        <v>3296.7999999999997</v>
      </c>
    </row>
    <row r="121" spans="1:17" x14ac:dyDescent="0.35">
      <c r="A121" s="129" t="s">
        <v>34</v>
      </c>
      <c r="B121" s="129">
        <v>2016</v>
      </c>
      <c r="C121" s="129" t="s">
        <v>37</v>
      </c>
      <c r="D121" s="129" t="str">
        <f t="shared" si="2"/>
        <v>April-2016</v>
      </c>
      <c r="E121" s="129" t="s">
        <v>32</v>
      </c>
      <c r="F121" s="130">
        <v>1701.3</v>
      </c>
      <c r="G121" s="130">
        <v>389.20000000000005</v>
      </c>
      <c r="H121" s="130">
        <v>251.1</v>
      </c>
      <c r="I121" s="130">
        <v>241.3</v>
      </c>
      <c r="J121" s="130">
        <v>122.3</v>
      </c>
      <c r="K121" s="130">
        <v>112.1</v>
      </c>
      <c r="L121" s="131">
        <v>121.1</v>
      </c>
      <c r="M121" s="131">
        <v>127.7</v>
      </c>
      <c r="N121" s="131">
        <v>137.1</v>
      </c>
      <c r="O121" s="131">
        <v>120</v>
      </c>
      <c r="P121" s="131">
        <v>127.3</v>
      </c>
      <c r="Q121" s="131">
        <f t="shared" si="3"/>
        <v>3323.2</v>
      </c>
    </row>
    <row r="122" spans="1:17" x14ac:dyDescent="0.35">
      <c r="A122" s="129" t="s">
        <v>30</v>
      </c>
      <c r="B122" s="129">
        <v>2016</v>
      </c>
      <c r="C122" s="129" t="s">
        <v>38</v>
      </c>
      <c r="D122" s="129" t="str">
        <f t="shared" si="2"/>
        <v>May-2016</v>
      </c>
      <c r="E122" s="129" t="s">
        <v>32</v>
      </c>
      <c r="F122" s="130">
        <v>1723.6999999999998</v>
      </c>
      <c r="G122" s="130">
        <v>401.3</v>
      </c>
      <c r="H122" s="130">
        <v>254.5</v>
      </c>
      <c r="I122" s="130">
        <v>245.5</v>
      </c>
      <c r="J122" s="130">
        <v>127.4</v>
      </c>
      <c r="K122" s="130">
        <v>115.1</v>
      </c>
      <c r="L122" s="131">
        <v>123.6</v>
      </c>
      <c r="M122" s="131">
        <v>129.1</v>
      </c>
      <c r="N122" s="131">
        <v>136</v>
      </c>
      <c r="O122" s="131">
        <v>122.5</v>
      </c>
      <c r="P122" s="131">
        <v>130.30000000000001</v>
      </c>
      <c r="Q122" s="131">
        <f t="shared" si="3"/>
        <v>3378.7</v>
      </c>
    </row>
    <row r="123" spans="1:17" x14ac:dyDescent="0.35">
      <c r="A123" s="129" t="s">
        <v>33</v>
      </c>
      <c r="B123" s="129">
        <v>2016</v>
      </c>
      <c r="C123" s="129" t="s">
        <v>38</v>
      </c>
      <c r="D123" s="129" t="str">
        <f t="shared" si="2"/>
        <v>May-2016</v>
      </c>
      <c r="E123" s="129" t="s">
        <v>32</v>
      </c>
      <c r="F123" s="130">
        <v>1746.7999999999997</v>
      </c>
      <c r="G123" s="130">
        <v>374.1</v>
      </c>
      <c r="H123" s="130">
        <v>249.2</v>
      </c>
      <c r="I123" s="130">
        <v>238.8</v>
      </c>
      <c r="J123" s="130">
        <v>115</v>
      </c>
      <c r="K123" s="130">
        <v>110.7</v>
      </c>
      <c r="L123" s="131">
        <v>119.8</v>
      </c>
      <c r="M123" s="131">
        <v>128</v>
      </c>
      <c r="N123" s="131">
        <v>142.19999999999999</v>
      </c>
      <c r="O123" s="131">
        <v>118.7</v>
      </c>
      <c r="P123" s="131">
        <v>126.6</v>
      </c>
      <c r="Q123" s="131">
        <f t="shared" si="3"/>
        <v>3343.2999999999993</v>
      </c>
    </row>
    <row r="124" spans="1:17" x14ac:dyDescent="0.35">
      <c r="A124" s="129" t="s">
        <v>34</v>
      </c>
      <c r="B124" s="129">
        <v>2016</v>
      </c>
      <c r="C124" s="129" t="s">
        <v>38</v>
      </c>
      <c r="D124" s="129" t="str">
        <f t="shared" si="2"/>
        <v>May-2016</v>
      </c>
      <c r="E124" s="129" t="s">
        <v>32</v>
      </c>
      <c r="F124" s="130">
        <v>1730.4</v>
      </c>
      <c r="G124" s="130">
        <v>390.4</v>
      </c>
      <c r="H124" s="130">
        <v>252</v>
      </c>
      <c r="I124" s="130">
        <v>242.9</v>
      </c>
      <c r="J124" s="130">
        <v>122.7</v>
      </c>
      <c r="K124" s="130">
        <v>112.8</v>
      </c>
      <c r="L124" s="131">
        <v>121.5</v>
      </c>
      <c r="M124" s="131">
        <v>128.5</v>
      </c>
      <c r="N124" s="131">
        <v>137.69999999999999</v>
      </c>
      <c r="O124" s="131">
        <v>120.7</v>
      </c>
      <c r="P124" s="131">
        <v>128.6</v>
      </c>
      <c r="Q124" s="131">
        <f t="shared" si="3"/>
        <v>3359.6</v>
      </c>
    </row>
    <row r="125" spans="1:17" x14ac:dyDescent="0.35">
      <c r="A125" s="129" t="s">
        <v>30</v>
      </c>
      <c r="B125" s="129">
        <v>2016</v>
      </c>
      <c r="C125" s="129" t="s">
        <v>39</v>
      </c>
      <c r="D125" s="129" t="str">
        <f t="shared" si="2"/>
        <v>June-2016</v>
      </c>
      <c r="E125" s="129" t="s">
        <v>32</v>
      </c>
      <c r="F125" s="130">
        <v>1748.6</v>
      </c>
      <c r="G125" s="130">
        <v>403.5</v>
      </c>
      <c r="H125" s="130">
        <v>254.8</v>
      </c>
      <c r="I125" s="130">
        <v>246.10000000000002</v>
      </c>
      <c r="J125" s="130">
        <v>128</v>
      </c>
      <c r="K125" s="130">
        <v>116.3</v>
      </c>
      <c r="L125" s="131">
        <v>124.1</v>
      </c>
      <c r="M125" s="131">
        <v>130.19999999999999</v>
      </c>
      <c r="N125" s="131">
        <v>137.19999999999999</v>
      </c>
      <c r="O125" s="131">
        <v>123.3</v>
      </c>
      <c r="P125" s="131">
        <v>131.9</v>
      </c>
      <c r="Q125" s="131">
        <f t="shared" si="3"/>
        <v>3412.1</v>
      </c>
    </row>
    <row r="126" spans="1:17" x14ac:dyDescent="0.35">
      <c r="A126" s="129" t="s">
        <v>33</v>
      </c>
      <c r="B126" s="129">
        <v>2016</v>
      </c>
      <c r="C126" s="129" t="s">
        <v>39</v>
      </c>
      <c r="D126" s="129" t="str">
        <f t="shared" si="2"/>
        <v>June-2016</v>
      </c>
      <c r="E126" s="129" t="s">
        <v>32</v>
      </c>
      <c r="F126" s="130">
        <v>1787.0000000000002</v>
      </c>
      <c r="G126" s="130">
        <v>375.29999999999995</v>
      </c>
      <c r="H126" s="130">
        <v>248.7</v>
      </c>
      <c r="I126" s="130">
        <v>239.39999999999998</v>
      </c>
      <c r="J126" s="130">
        <v>115.5</v>
      </c>
      <c r="K126" s="130">
        <v>112.3</v>
      </c>
      <c r="L126" s="131">
        <v>119.9</v>
      </c>
      <c r="M126" s="131">
        <v>129.30000000000001</v>
      </c>
      <c r="N126" s="131">
        <v>142.69999999999999</v>
      </c>
      <c r="O126" s="131">
        <v>119.6</v>
      </c>
      <c r="P126" s="131">
        <v>128.1</v>
      </c>
      <c r="Q126" s="131">
        <f t="shared" si="3"/>
        <v>3389.7000000000003</v>
      </c>
    </row>
    <row r="127" spans="1:17" x14ac:dyDescent="0.35">
      <c r="A127" s="129" t="s">
        <v>34</v>
      </c>
      <c r="B127" s="129">
        <v>2016</v>
      </c>
      <c r="C127" s="129" t="s">
        <v>39</v>
      </c>
      <c r="D127" s="129" t="str">
        <f t="shared" si="2"/>
        <v>June-2016</v>
      </c>
      <c r="E127" s="129" t="s">
        <v>32</v>
      </c>
      <c r="F127" s="130">
        <v>1760.6</v>
      </c>
      <c r="G127" s="130">
        <v>392.1</v>
      </c>
      <c r="H127" s="130">
        <v>251.9</v>
      </c>
      <c r="I127" s="130">
        <v>243.5</v>
      </c>
      <c r="J127" s="130">
        <v>123.3</v>
      </c>
      <c r="K127" s="130">
        <v>114.2</v>
      </c>
      <c r="L127" s="131">
        <v>121.7</v>
      </c>
      <c r="M127" s="131">
        <v>129.69999999999999</v>
      </c>
      <c r="N127" s="131">
        <v>138.69999999999999</v>
      </c>
      <c r="O127" s="131">
        <v>121.5</v>
      </c>
      <c r="P127" s="131">
        <v>130.1</v>
      </c>
      <c r="Q127" s="131">
        <f t="shared" si="3"/>
        <v>3397.1999999999994</v>
      </c>
    </row>
    <row r="128" spans="1:17" x14ac:dyDescent="0.35">
      <c r="A128" s="129" t="s">
        <v>30</v>
      </c>
      <c r="B128" s="129">
        <v>2016</v>
      </c>
      <c r="C128" s="129" t="s">
        <v>40</v>
      </c>
      <c r="D128" s="129" t="str">
        <f t="shared" si="2"/>
        <v>July-2016</v>
      </c>
      <c r="E128" s="129" t="s">
        <v>32</v>
      </c>
      <c r="F128" s="130">
        <v>1770.2999999999997</v>
      </c>
      <c r="G128" s="130">
        <v>405.9</v>
      </c>
      <c r="H128" s="130">
        <v>256.39999999999998</v>
      </c>
      <c r="I128" s="130">
        <v>247.60000000000002</v>
      </c>
      <c r="J128" s="130">
        <v>128.19999999999999</v>
      </c>
      <c r="K128" s="130">
        <v>116.4</v>
      </c>
      <c r="L128" s="131">
        <v>125.2</v>
      </c>
      <c r="M128" s="131">
        <v>130.80000000000001</v>
      </c>
      <c r="N128" s="131">
        <v>138</v>
      </c>
      <c r="O128" s="131">
        <v>123.8</v>
      </c>
      <c r="P128" s="131">
        <v>133</v>
      </c>
      <c r="Q128" s="131">
        <f t="shared" si="3"/>
        <v>3442.6</v>
      </c>
    </row>
    <row r="129" spans="1:17" x14ac:dyDescent="0.35">
      <c r="A129" s="129" t="s">
        <v>33</v>
      </c>
      <c r="B129" s="129">
        <v>2016</v>
      </c>
      <c r="C129" s="129" t="s">
        <v>40</v>
      </c>
      <c r="D129" s="129" t="str">
        <f t="shared" si="2"/>
        <v>July-2016</v>
      </c>
      <c r="E129" s="129" t="s">
        <v>32</v>
      </c>
      <c r="F129" s="130">
        <v>1811.5000000000002</v>
      </c>
      <c r="G129" s="130">
        <v>375.9</v>
      </c>
      <c r="H129" s="130">
        <v>249.9</v>
      </c>
      <c r="I129" s="130">
        <v>240.9</v>
      </c>
      <c r="J129" s="130">
        <v>115.5</v>
      </c>
      <c r="K129" s="130">
        <v>111.7</v>
      </c>
      <c r="L129" s="131">
        <v>120.3</v>
      </c>
      <c r="M129" s="131">
        <v>130.80000000000001</v>
      </c>
      <c r="N129" s="131">
        <v>142.9</v>
      </c>
      <c r="O129" s="131">
        <v>119.9</v>
      </c>
      <c r="P129" s="131">
        <v>129</v>
      </c>
      <c r="Q129" s="131">
        <f t="shared" si="3"/>
        <v>3419.3000000000006</v>
      </c>
    </row>
    <row r="130" spans="1:17" x14ac:dyDescent="0.35">
      <c r="A130" s="129" t="s">
        <v>34</v>
      </c>
      <c r="B130" s="129">
        <v>2016</v>
      </c>
      <c r="C130" s="129" t="s">
        <v>40</v>
      </c>
      <c r="D130" s="129" t="str">
        <f t="shared" ref="D130:D193" si="4">CONCATENATE(C130,"-",B130)</f>
        <v>July-2016</v>
      </c>
      <c r="E130" s="129" t="s">
        <v>32</v>
      </c>
      <c r="F130" s="130">
        <v>1783.5</v>
      </c>
      <c r="G130" s="130">
        <v>393.8</v>
      </c>
      <c r="H130" s="130">
        <v>253.3</v>
      </c>
      <c r="I130" s="130">
        <v>245</v>
      </c>
      <c r="J130" s="130">
        <v>123.4</v>
      </c>
      <c r="K130" s="130">
        <v>113.9</v>
      </c>
      <c r="L130" s="131">
        <v>122.4</v>
      </c>
      <c r="M130" s="131">
        <v>130.80000000000001</v>
      </c>
      <c r="N130" s="131">
        <v>139.30000000000001</v>
      </c>
      <c r="O130" s="131">
        <v>121.9</v>
      </c>
      <c r="P130" s="131">
        <v>131.1</v>
      </c>
      <c r="Q130" s="131">
        <f t="shared" si="3"/>
        <v>3427.3000000000011</v>
      </c>
    </row>
    <row r="131" spans="1:17" x14ac:dyDescent="0.35">
      <c r="A131" s="129" t="s">
        <v>30</v>
      </c>
      <c r="B131" s="129">
        <v>2016</v>
      </c>
      <c r="C131" s="129" t="s">
        <v>41</v>
      </c>
      <c r="D131" s="129" t="str">
        <f t="shared" si="4"/>
        <v>August-2016</v>
      </c>
      <c r="E131" s="129" t="s">
        <v>32</v>
      </c>
      <c r="F131" s="130">
        <v>1777.4999999999998</v>
      </c>
      <c r="G131" s="130">
        <v>407.9</v>
      </c>
      <c r="H131" s="130">
        <v>257.89999999999998</v>
      </c>
      <c r="I131" s="130">
        <v>249</v>
      </c>
      <c r="J131" s="130">
        <v>129.1</v>
      </c>
      <c r="K131" s="130">
        <v>116</v>
      </c>
      <c r="L131" s="131">
        <v>125.5</v>
      </c>
      <c r="M131" s="131">
        <v>131.9</v>
      </c>
      <c r="N131" s="131">
        <v>138.9</v>
      </c>
      <c r="O131" s="131">
        <v>124.2</v>
      </c>
      <c r="P131" s="131">
        <v>133.5</v>
      </c>
      <c r="Q131" s="131">
        <f t="shared" ref="Q131:Q194" si="5">SUM(F131:O131)</f>
        <v>3457.8999999999996</v>
      </c>
    </row>
    <row r="132" spans="1:17" x14ac:dyDescent="0.35">
      <c r="A132" s="129" t="s">
        <v>33</v>
      </c>
      <c r="B132" s="129">
        <v>2016</v>
      </c>
      <c r="C132" s="129" t="s">
        <v>41</v>
      </c>
      <c r="D132" s="129" t="str">
        <f t="shared" si="4"/>
        <v>August-2016</v>
      </c>
      <c r="E132" s="129" t="s">
        <v>32</v>
      </c>
      <c r="F132" s="130">
        <v>1783.9999999999995</v>
      </c>
      <c r="G132" s="130">
        <v>377</v>
      </c>
      <c r="H132" s="130">
        <v>251.2</v>
      </c>
      <c r="I132" s="130">
        <v>242.10000000000002</v>
      </c>
      <c r="J132" s="130">
        <v>114.7</v>
      </c>
      <c r="K132" s="130">
        <v>110.4</v>
      </c>
      <c r="L132" s="131">
        <v>120.6</v>
      </c>
      <c r="M132" s="131">
        <v>131.5</v>
      </c>
      <c r="N132" s="131">
        <v>143.6</v>
      </c>
      <c r="O132" s="131">
        <v>119.9</v>
      </c>
      <c r="P132" s="131">
        <v>128.4</v>
      </c>
      <c r="Q132" s="131">
        <f t="shared" si="5"/>
        <v>3394.9999999999991</v>
      </c>
    </row>
    <row r="133" spans="1:17" x14ac:dyDescent="0.35">
      <c r="A133" s="129" t="s">
        <v>34</v>
      </c>
      <c r="B133" s="129">
        <v>2016</v>
      </c>
      <c r="C133" s="129" t="s">
        <v>41</v>
      </c>
      <c r="D133" s="129" t="str">
        <f t="shared" si="4"/>
        <v>August-2016</v>
      </c>
      <c r="E133" s="129" t="s">
        <v>32</v>
      </c>
      <c r="F133" s="130">
        <v>1777.9</v>
      </c>
      <c r="G133" s="130">
        <v>395.49999999999994</v>
      </c>
      <c r="H133" s="130">
        <v>254.7</v>
      </c>
      <c r="I133" s="130">
        <v>246.3</v>
      </c>
      <c r="J133" s="130">
        <v>123.6</v>
      </c>
      <c r="K133" s="130">
        <v>113.1</v>
      </c>
      <c r="L133" s="131">
        <v>122.7</v>
      </c>
      <c r="M133" s="131">
        <v>131.69999999999999</v>
      </c>
      <c r="N133" s="131">
        <v>140.19999999999999</v>
      </c>
      <c r="O133" s="131">
        <v>122.1</v>
      </c>
      <c r="P133" s="131">
        <v>131.1</v>
      </c>
      <c r="Q133" s="131">
        <f t="shared" si="5"/>
        <v>3427.7999999999993</v>
      </c>
    </row>
    <row r="134" spans="1:17" x14ac:dyDescent="0.35">
      <c r="A134" s="129" t="s">
        <v>30</v>
      </c>
      <c r="B134" s="129">
        <v>2016</v>
      </c>
      <c r="C134" s="129" t="s">
        <v>42</v>
      </c>
      <c r="D134" s="129" t="str">
        <f t="shared" si="4"/>
        <v>September-2016</v>
      </c>
      <c r="E134" s="129" t="s">
        <v>32</v>
      </c>
      <c r="F134" s="130">
        <v>1770.7</v>
      </c>
      <c r="G134" s="130">
        <v>409.8</v>
      </c>
      <c r="H134" s="130">
        <v>259</v>
      </c>
      <c r="I134" s="130">
        <v>250.6</v>
      </c>
      <c r="J134" s="130">
        <v>129.69999999999999</v>
      </c>
      <c r="K134" s="130">
        <v>117</v>
      </c>
      <c r="L134" s="131">
        <v>125.7</v>
      </c>
      <c r="M134" s="131">
        <v>132.19999999999999</v>
      </c>
      <c r="N134" s="131">
        <v>139.9</v>
      </c>
      <c r="O134" s="131">
        <v>124.9</v>
      </c>
      <c r="P134" s="131">
        <v>133.4</v>
      </c>
      <c r="Q134" s="131">
        <f t="shared" si="5"/>
        <v>3459.4999999999995</v>
      </c>
    </row>
    <row r="135" spans="1:17" x14ac:dyDescent="0.35">
      <c r="A135" s="129" t="s">
        <v>33</v>
      </c>
      <c r="B135" s="129">
        <v>2016</v>
      </c>
      <c r="C135" s="129" t="s">
        <v>42</v>
      </c>
      <c r="D135" s="129" t="str">
        <f t="shared" si="4"/>
        <v>September-2016</v>
      </c>
      <c r="E135" s="129" t="s">
        <v>32</v>
      </c>
      <c r="F135" s="130">
        <v>1756.3999999999996</v>
      </c>
      <c r="G135" s="130">
        <v>378</v>
      </c>
      <c r="H135" s="130">
        <v>252.2</v>
      </c>
      <c r="I135" s="130">
        <v>242.60000000000002</v>
      </c>
      <c r="J135" s="130">
        <v>114.8</v>
      </c>
      <c r="K135" s="130">
        <v>111.8</v>
      </c>
      <c r="L135" s="131">
        <v>120.8</v>
      </c>
      <c r="M135" s="131">
        <v>131.6</v>
      </c>
      <c r="N135" s="131">
        <v>143.9</v>
      </c>
      <c r="O135" s="131">
        <v>120.5</v>
      </c>
      <c r="P135" s="131">
        <v>128</v>
      </c>
      <c r="Q135" s="131">
        <f t="shared" si="5"/>
        <v>3372.6</v>
      </c>
    </row>
    <row r="136" spans="1:17" x14ac:dyDescent="0.35">
      <c r="A136" s="129" t="s">
        <v>34</v>
      </c>
      <c r="B136" s="129">
        <v>2016</v>
      </c>
      <c r="C136" s="129" t="s">
        <v>42</v>
      </c>
      <c r="D136" s="129" t="str">
        <f t="shared" si="4"/>
        <v>September-2016</v>
      </c>
      <c r="E136" s="129" t="s">
        <v>32</v>
      </c>
      <c r="F136" s="130">
        <v>1763.6999999999998</v>
      </c>
      <c r="G136" s="130">
        <v>397</v>
      </c>
      <c r="H136" s="130">
        <v>255.8</v>
      </c>
      <c r="I136" s="130">
        <v>247.5</v>
      </c>
      <c r="J136" s="130">
        <v>124.1</v>
      </c>
      <c r="K136" s="130">
        <v>114.3</v>
      </c>
      <c r="L136" s="131">
        <v>122.9</v>
      </c>
      <c r="M136" s="131">
        <v>131.80000000000001</v>
      </c>
      <c r="N136" s="131">
        <v>141</v>
      </c>
      <c r="O136" s="131">
        <v>122.8</v>
      </c>
      <c r="P136" s="131">
        <v>130.9</v>
      </c>
      <c r="Q136" s="131">
        <f t="shared" si="5"/>
        <v>3420.9000000000005</v>
      </c>
    </row>
    <row r="137" spans="1:17" x14ac:dyDescent="0.35">
      <c r="A137" s="129" t="s">
        <v>30</v>
      </c>
      <c r="B137" s="129">
        <v>2016</v>
      </c>
      <c r="C137" s="129" t="s">
        <v>43</v>
      </c>
      <c r="D137" s="129" t="str">
        <f t="shared" si="4"/>
        <v>October-2016</v>
      </c>
      <c r="E137" s="129" t="s">
        <v>32</v>
      </c>
      <c r="F137" s="130">
        <v>1771.8000000000002</v>
      </c>
      <c r="G137" s="130">
        <v>412.7</v>
      </c>
      <c r="H137" s="130">
        <v>260.5</v>
      </c>
      <c r="I137" s="130">
        <v>251.7</v>
      </c>
      <c r="J137" s="130">
        <v>129.80000000000001</v>
      </c>
      <c r="K137" s="130">
        <v>117.8</v>
      </c>
      <c r="L137" s="131">
        <v>126.5</v>
      </c>
      <c r="M137" s="131">
        <v>133</v>
      </c>
      <c r="N137" s="131">
        <v>140.9</v>
      </c>
      <c r="O137" s="131">
        <v>125.7</v>
      </c>
      <c r="P137" s="131">
        <v>133.80000000000001</v>
      </c>
      <c r="Q137" s="131">
        <f t="shared" si="5"/>
        <v>3470.4</v>
      </c>
    </row>
    <row r="138" spans="1:17" x14ac:dyDescent="0.35">
      <c r="A138" s="129" t="s">
        <v>33</v>
      </c>
      <c r="B138" s="129">
        <v>2016</v>
      </c>
      <c r="C138" s="129" t="s">
        <v>43</v>
      </c>
      <c r="D138" s="129" t="str">
        <f t="shared" si="4"/>
        <v>October-2016</v>
      </c>
      <c r="E138" s="129" t="s">
        <v>32</v>
      </c>
      <c r="F138" s="130">
        <v>1762.8999999999999</v>
      </c>
      <c r="G138" s="130">
        <v>379</v>
      </c>
      <c r="H138" s="130">
        <v>253.2</v>
      </c>
      <c r="I138" s="130">
        <v>242.6</v>
      </c>
      <c r="J138" s="130">
        <v>115.2</v>
      </c>
      <c r="K138" s="130">
        <v>112.8</v>
      </c>
      <c r="L138" s="131">
        <v>121.2</v>
      </c>
      <c r="M138" s="131">
        <v>131.9</v>
      </c>
      <c r="N138" s="131">
        <v>144.30000000000001</v>
      </c>
      <c r="O138" s="131">
        <v>120.9</v>
      </c>
      <c r="P138" s="131">
        <v>128.6</v>
      </c>
      <c r="Q138" s="131">
        <f t="shared" si="5"/>
        <v>3383.9999999999995</v>
      </c>
    </row>
    <row r="139" spans="1:17" x14ac:dyDescent="0.35">
      <c r="A139" s="129" t="s">
        <v>34</v>
      </c>
      <c r="B139" s="129">
        <v>2016</v>
      </c>
      <c r="C139" s="129" t="s">
        <v>43</v>
      </c>
      <c r="D139" s="129" t="str">
        <f t="shared" si="4"/>
        <v>October-2016</v>
      </c>
      <c r="E139" s="129" t="s">
        <v>32</v>
      </c>
      <c r="F139" s="130">
        <v>1766.7999999999995</v>
      </c>
      <c r="G139" s="130">
        <v>399.1</v>
      </c>
      <c r="H139" s="130">
        <v>257.10000000000002</v>
      </c>
      <c r="I139" s="130">
        <v>248.2</v>
      </c>
      <c r="J139" s="130">
        <v>124.3</v>
      </c>
      <c r="K139" s="130">
        <v>115.2</v>
      </c>
      <c r="L139" s="131">
        <v>123.5</v>
      </c>
      <c r="M139" s="131">
        <v>132.4</v>
      </c>
      <c r="N139" s="131">
        <v>141.80000000000001</v>
      </c>
      <c r="O139" s="131">
        <v>123.4</v>
      </c>
      <c r="P139" s="131">
        <v>131.4</v>
      </c>
      <c r="Q139" s="131">
        <f t="shared" si="5"/>
        <v>3431.7999999999997</v>
      </c>
    </row>
    <row r="140" spans="1:17" x14ac:dyDescent="0.35">
      <c r="A140" s="129" t="s">
        <v>30</v>
      </c>
      <c r="B140" s="129">
        <v>2016</v>
      </c>
      <c r="C140" s="129" t="s">
        <v>45</v>
      </c>
      <c r="D140" s="129" t="str">
        <f t="shared" si="4"/>
        <v>November-2016</v>
      </c>
      <c r="E140" s="129" t="s">
        <v>32</v>
      </c>
      <c r="F140" s="130">
        <v>1764.6</v>
      </c>
      <c r="G140" s="130">
        <v>413.59999999999997</v>
      </c>
      <c r="H140" s="130">
        <v>261.2</v>
      </c>
      <c r="I140" s="130">
        <v>252.6</v>
      </c>
      <c r="J140" s="130">
        <v>130.30000000000001</v>
      </c>
      <c r="K140" s="130">
        <v>118.2</v>
      </c>
      <c r="L140" s="131">
        <v>126.9</v>
      </c>
      <c r="M140" s="131">
        <v>133.69999999999999</v>
      </c>
      <c r="N140" s="131">
        <v>141.19999999999999</v>
      </c>
      <c r="O140" s="131">
        <v>126.1</v>
      </c>
      <c r="P140" s="131">
        <v>133.6</v>
      </c>
      <c r="Q140" s="131">
        <f t="shared" si="5"/>
        <v>3468.3999999999992</v>
      </c>
    </row>
    <row r="141" spans="1:17" x14ac:dyDescent="0.35">
      <c r="A141" s="129" t="s">
        <v>33</v>
      </c>
      <c r="B141" s="129">
        <v>2016</v>
      </c>
      <c r="C141" s="129" t="s">
        <v>45</v>
      </c>
      <c r="D141" s="129" t="str">
        <f t="shared" si="4"/>
        <v>November-2016</v>
      </c>
      <c r="E141" s="129" t="s">
        <v>32</v>
      </c>
      <c r="F141" s="130">
        <v>1755.2</v>
      </c>
      <c r="G141" s="130">
        <v>380.2</v>
      </c>
      <c r="H141" s="130">
        <v>253.8</v>
      </c>
      <c r="I141" s="130">
        <v>243.39999999999998</v>
      </c>
      <c r="J141" s="130">
        <v>116.2</v>
      </c>
      <c r="K141" s="130">
        <v>113.4</v>
      </c>
      <c r="L141" s="131">
        <v>121.7</v>
      </c>
      <c r="M141" s="131">
        <v>132.1</v>
      </c>
      <c r="N141" s="131">
        <v>144.30000000000001</v>
      </c>
      <c r="O141" s="131">
        <v>121.3</v>
      </c>
      <c r="P141" s="131">
        <v>128.5</v>
      </c>
      <c r="Q141" s="131">
        <f t="shared" si="5"/>
        <v>3381.6000000000004</v>
      </c>
    </row>
    <row r="142" spans="1:17" x14ac:dyDescent="0.35">
      <c r="A142" s="129" t="s">
        <v>34</v>
      </c>
      <c r="B142" s="129">
        <v>2016</v>
      </c>
      <c r="C142" s="129" t="s">
        <v>45</v>
      </c>
      <c r="D142" s="129" t="str">
        <f t="shared" si="4"/>
        <v>November-2016</v>
      </c>
      <c r="E142" s="129" t="s">
        <v>32</v>
      </c>
      <c r="F142" s="130">
        <v>1759.8</v>
      </c>
      <c r="G142" s="130">
        <v>400.1</v>
      </c>
      <c r="H142" s="130">
        <v>257.7</v>
      </c>
      <c r="I142" s="130">
        <v>249</v>
      </c>
      <c r="J142" s="130">
        <v>125</v>
      </c>
      <c r="K142" s="130">
        <v>115.7</v>
      </c>
      <c r="L142" s="131">
        <v>124</v>
      </c>
      <c r="M142" s="131">
        <v>132.80000000000001</v>
      </c>
      <c r="N142" s="131">
        <v>142</v>
      </c>
      <c r="O142" s="131">
        <v>123.8</v>
      </c>
      <c r="P142" s="131">
        <v>131.19999999999999</v>
      </c>
      <c r="Q142" s="131">
        <f t="shared" si="5"/>
        <v>3429.9</v>
      </c>
    </row>
    <row r="143" spans="1:17" x14ac:dyDescent="0.35">
      <c r="A143" s="129" t="s">
        <v>30</v>
      </c>
      <c r="B143" s="129">
        <v>2016</v>
      </c>
      <c r="C143" s="129" t="s">
        <v>46</v>
      </c>
      <c r="D143" s="129" t="str">
        <f t="shared" si="4"/>
        <v>December-2016</v>
      </c>
      <c r="E143" s="129" t="s">
        <v>32</v>
      </c>
      <c r="F143" s="130">
        <v>1749.1</v>
      </c>
      <c r="G143" s="130">
        <v>415.3</v>
      </c>
      <c r="H143" s="130">
        <v>261.39999999999998</v>
      </c>
      <c r="I143" s="130">
        <v>251.6</v>
      </c>
      <c r="J143" s="130">
        <v>132</v>
      </c>
      <c r="K143" s="130">
        <v>118.6</v>
      </c>
      <c r="L143" s="131">
        <v>127.3</v>
      </c>
      <c r="M143" s="131">
        <v>134.19999999999999</v>
      </c>
      <c r="N143" s="131">
        <v>142.4</v>
      </c>
      <c r="O143" s="131">
        <v>126.3</v>
      </c>
      <c r="P143" s="131">
        <v>132.80000000000001</v>
      </c>
      <c r="Q143" s="131">
        <f t="shared" si="5"/>
        <v>3458.2000000000003</v>
      </c>
    </row>
    <row r="144" spans="1:17" x14ac:dyDescent="0.35">
      <c r="A144" s="129" t="s">
        <v>33</v>
      </c>
      <c r="B144" s="129">
        <v>2016</v>
      </c>
      <c r="C144" s="129" t="s">
        <v>46</v>
      </c>
      <c r="D144" s="129" t="str">
        <f t="shared" si="4"/>
        <v>December-2016</v>
      </c>
      <c r="E144" s="129" t="s">
        <v>32</v>
      </c>
      <c r="F144" s="130">
        <v>1729.8</v>
      </c>
      <c r="G144" s="130">
        <v>381</v>
      </c>
      <c r="H144" s="130">
        <v>253.5</v>
      </c>
      <c r="I144" s="130">
        <v>242.2</v>
      </c>
      <c r="J144" s="130">
        <v>117.8</v>
      </c>
      <c r="K144" s="130">
        <v>113.7</v>
      </c>
      <c r="L144" s="131">
        <v>121.8</v>
      </c>
      <c r="M144" s="131">
        <v>132.30000000000001</v>
      </c>
      <c r="N144" s="131">
        <v>145</v>
      </c>
      <c r="O144" s="131">
        <v>121.4</v>
      </c>
      <c r="P144" s="131">
        <v>127.6</v>
      </c>
      <c r="Q144" s="131">
        <f t="shared" si="5"/>
        <v>3358.5000000000005</v>
      </c>
    </row>
    <row r="145" spans="1:17" x14ac:dyDescent="0.35">
      <c r="A145" s="129" t="s">
        <v>34</v>
      </c>
      <c r="B145" s="129">
        <v>2016</v>
      </c>
      <c r="C145" s="129" t="s">
        <v>46</v>
      </c>
      <c r="D145" s="129" t="str">
        <f t="shared" si="4"/>
        <v>December-2016</v>
      </c>
      <c r="E145" s="129" t="s">
        <v>32</v>
      </c>
      <c r="F145" s="130">
        <v>1740.7</v>
      </c>
      <c r="G145" s="130">
        <v>401.5</v>
      </c>
      <c r="H145" s="130">
        <v>257.7</v>
      </c>
      <c r="I145" s="130">
        <v>248</v>
      </c>
      <c r="J145" s="130">
        <v>126.6</v>
      </c>
      <c r="K145" s="130">
        <v>116</v>
      </c>
      <c r="L145" s="131">
        <v>124.2</v>
      </c>
      <c r="M145" s="131">
        <v>133.1</v>
      </c>
      <c r="N145" s="131">
        <v>143.1</v>
      </c>
      <c r="O145" s="131">
        <v>123.9</v>
      </c>
      <c r="P145" s="131">
        <v>130.4</v>
      </c>
      <c r="Q145" s="131">
        <f t="shared" si="5"/>
        <v>3414.7999999999993</v>
      </c>
    </row>
    <row r="146" spans="1:17" x14ac:dyDescent="0.35">
      <c r="A146" s="129" t="s">
        <v>30</v>
      </c>
      <c r="B146" s="129">
        <v>2017</v>
      </c>
      <c r="C146" s="129" t="s">
        <v>31</v>
      </c>
      <c r="D146" s="129" t="str">
        <f t="shared" si="4"/>
        <v>January-2017</v>
      </c>
      <c r="E146" s="129" t="s">
        <v>32</v>
      </c>
      <c r="F146" s="130">
        <v>1737.3000000000002</v>
      </c>
      <c r="G146" s="130">
        <v>416.5</v>
      </c>
      <c r="H146" s="130">
        <v>262.79999999999995</v>
      </c>
      <c r="I146" s="130">
        <v>252.2</v>
      </c>
      <c r="J146" s="130">
        <v>132.1</v>
      </c>
      <c r="K146" s="130">
        <v>119.1</v>
      </c>
      <c r="L146" s="131">
        <v>127</v>
      </c>
      <c r="M146" s="131">
        <v>134.6</v>
      </c>
      <c r="N146" s="131">
        <v>143.1</v>
      </c>
      <c r="O146" s="131">
        <v>126.6</v>
      </c>
      <c r="P146" s="131">
        <v>132.4</v>
      </c>
      <c r="Q146" s="131">
        <f t="shared" si="5"/>
        <v>3451.2999999999997</v>
      </c>
    </row>
    <row r="147" spans="1:17" x14ac:dyDescent="0.35">
      <c r="A147" s="129" t="s">
        <v>33</v>
      </c>
      <c r="B147" s="129">
        <v>2017</v>
      </c>
      <c r="C147" s="129" t="s">
        <v>31</v>
      </c>
      <c r="D147" s="129" t="str">
        <f t="shared" si="4"/>
        <v>January-2017</v>
      </c>
      <c r="E147" s="129" t="s">
        <v>32</v>
      </c>
      <c r="F147" s="130">
        <v>1713.2</v>
      </c>
      <c r="G147" s="130">
        <v>381.5</v>
      </c>
      <c r="H147" s="130">
        <v>254.7</v>
      </c>
      <c r="I147" s="130">
        <v>243.5</v>
      </c>
      <c r="J147" s="130">
        <v>118</v>
      </c>
      <c r="K147" s="130">
        <v>115.2</v>
      </c>
      <c r="L147" s="131">
        <v>122</v>
      </c>
      <c r="M147" s="131">
        <v>132.4</v>
      </c>
      <c r="N147" s="131">
        <v>145.6</v>
      </c>
      <c r="O147" s="131">
        <v>122.1</v>
      </c>
      <c r="P147" s="131">
        <v>127.8</v>
      </c>
      <c r="Q147" s="131">
        <f t="shared" si="5"/>
        <v>3348.1999999999994</v>
      </c>
    </row>
    <row r="148" spans="1:17" x14ac:dyDescent="0.35">
      <c r="A148" s="129" t="s">
        <v>34</v>
      </c>
      <c r="B148" s="129">
        <v>2017</v>
      </c>
      <c r="C148" s="129" t="s">
        <v>31</v>
      </c>
      <c r="D148" s="129" t="str">
        <f t="shared" si="4"/>
        <v>January-2017</v>
      </c>
      <c r="E148" s="129" t="s">
        <v>32</v>
      </c>
      <c r="F148" s="130">
        <v>1727.2999999999995</v>
      </c>
      <c r="G148" s="130">
        <v>402.4</v>
      </c>
      <c r="H148" s="130">
        <v>259</v>
      </c>
      <c r="I148" s="130">
        <v>248.8</v>
      </c>
      <c r="J148" s="130">
        <v>126.8</v>
      </c>
      <c r="K148" s="130">
        <v>117</v>
      </c>
      <c r="L148" s="131">
        <v>124.2</v>
      </c>
      <c r="M148" s="131">
        <v>133.30000000000001</v>
      </c>
      <c r="N148" s="131">
        <v>143.80000000000001</v>
      </c>
      <c r="O148" s="131">
        <v>124.4</v>
      </c>
      <c r="P148" s="131">
        <v>130.30000000000001</v>
      </c>
      <c r="Q148" s="131">
        <f t="shared" si="5"/>
        <v>3407</v>
      </c>
    </row>
    <row r="149" spans="1:17" x14ac:dyDescent="0.35">
      <c r="A149" s="129" t="s">
        <v>30</v>
      </c>
      <c r="B149" s="129">
        <v>2017</v>
      </c>
      <c r="C149" s="129" t="s">
        <v>35</v>
      </c>
      <c r="D149" s="129" t="str">
        <f t="shared" si="4"/>
        <v>February-2017</v>
      </c>
      <c r="E149" s="129" t="s">
        <v>32</v>
      </c>
      <c r="F149" s="130">
        <v>1734.5000000000002</v>
      </c>
      <c r="G149" s="130">
        <v>416.90000000000003</v>
      </c>
      <c r="H149" s="130">
        <v>264.10000000000002</v>
      </c>
      <c r="I149" s="130">
        <v>253.3</v>
      </c>
      <c r="J149" s="130">
        <v>133.19999999999999</v>
      </c>
      <c r="K149" s="130">
        <v>119.5</v>
      </c>
      <c r="L149" s="131">
        <v>127.7</v>
      </c>
      <c r="M149" s="131">
        <v>134.9</v>
      </c>
      <c r="N149" s="131">
        <v>143.69999999999999</v>
      </c>
      <c r="O149" s="131">
        <v>127</v>
      </c>
      <c r="P149" s="131">
        <v>132.6</v>
      </c>
      <c r="Q149" s="131">
        <f t="shared" si="5"/>
        <v>3454.7999999999997</v>
      </c>
    </row>
    <row r="150" spans="1:17" x14ac:dyDescent="0.35">
      <c r="A150" s="129" t="s">
        <v>33</v>
      </c>
      <c r="B150" s="129">
        <v>2017</v>
      </c>
      <c r="C150" s="129" t="s">
        <v>35</v>
      </c>
      <c r="D150" s="129" t="str">
        <f t="shared" si="4"/>
        <v>February-2017</v>
      </c>
      <c r="E150" s="129" t="s">
        <v>32</v>
      </c>
      <c r="F150" s="130">
        <v>1705.3000000000002</v>
      </c>
      <c r="G150" s="130">
        <v>382.3</v>
      </c>
      <c r="H150" s="130">
        <v>255.8</v>
      </c>
      <c r="I150" s="130">
        <v>244.60000000000002</v>
      </c>
      <c r="J150" s="130">
        <v>119.2</v>
      </c>
      <c r="K150" s="130">
        <v>115.5</v>
      </c>
      <c r="L150" s="131">
        <v>122.2</v>
      </c>
      <c r="M150" s="131">
        <v>132.4</v>
      </c>
      <c r="N150" s="131">
        <v>146.30000000000001</v>
      </c>
      <c r="O150" s="131">
        <v>122.4</v>
      </c>
      <c r="P150" s="131">
        <v>128.19999999999999</v>
      </c>
      <c r="Q150" s="131">
        <f t="shared" si="5"/>
        <v>3346.0000000000005</v>
      </c>
    </row>
    <row r="151" spans="1:17" x14ac:dyDescent="0.35">
      <c r="A151" s="129" t="s">
        <v>34</v>
      </c>
      <c r="B151" s="129">
        <v>2017</v>
      </c>
      <c r="C151" s="129" t="s">
        <v>35</v>
      </c>
      <c r="D151" s="129" t="str">
        <f t="shared" si="4"/>
        <v>February-2017</v>
      </c>
      <c r="E151" s="129" t="s">
        <v>32</v>
      </c>
      <c r="F151" s="130">
        <v>1722.3000000000002</v>
      </c>
      <c r="G151" s="130">
        <v>403</v>
      </c>
      <c r="H151" s="130">
        <v>260.2</v>
      </c>
      <c r="I151" s="130">
        <v>250</v>
      </c>
      <c r="J151" s="130">
        <v>127.9</v>
      </c>
      <c r="K151" s="130">
        <v>117.4</v>
      </c>
      <c r="L151" s="131">
        <v>124.6</v>
      </c>
      <c r="M151" s="131">
        <v>133.4</v>
      </c>
      <c r="N151" s="131">
        <v>144.4</v>
      </c>
      <c r="O151" s="131">
        <v>124.8</v>
      </c>
      <c r="P151" s="131">
        <v>130.6</v>
      </c>
      <c r="Q151" s="131">
        <f t="shared" si="5"/>
        <v>3408.0000000000005</v>
      </c>
    </row>
    <row r="152" spans="1:17" x14ac:dyDescent="0.35">
      <c r="A152" s="129" t="s">
        <v>30</v>
      </c>
      <c r="B152" s="129">
        <v>2017</v>
      </c>
      <c r="C152" s="129" t="s">
        <v>36</v>
      </c>
      <c r="D152" s="129" t="str">
        <f t="shared" si="4"/>
        <v>March-2017</v>
      </c>
      <c r="E152" s="129" t="s">
        <v>32</v>
      </c>
      <c r="F152" s="130">
        <v>1728.5000000000002</v>
      </c>
      <c r="G152" s="130">
        <v>418.59999999999997</v>
      </c>
      <c r="H152" s="130">
        <v>265.2</v>
      </c>
      <c r="I152" s="130">
        <v>253.89999999999998</v>
      </c>
      <c r="J152" s="130">
        <v>134.19999999999999</v>
      </c>
      <c r="K152" s="130">
        <v>119.8</v>
      </c>
      <c r="L152" s="131">
        <v>128.30000000000001</v>
      </c>
      <c r="M152" s="131">
        <v>135.19999999999999</v>
      </c>
      <c r="N152" s="131">
        <v>144.19999999999999</v>
      </c>
      <c r="O152" s="131">
        <v>127.4</v>
      </c>
      <c r="P152" s="131">
        <v>132.80000000000001</v>
      </c>
      <c r="Q152" s="131">
        <f t="shared" si="5"/>
        <v>3455.3</v>
      </c>
    </row>
    <row r="153" spans="1:17" x14ac:dyDescent="0.35">
      <c r="A153" s="129" t="s">
        <v>33</v>
      </c>
      <c r="B153" s="129">
        <v>2017</v>
      </c>
      <c r="C153" s="129" t="s">
        <v>36</v>
      </c>
      <c r="D153" s="129" t="str">
        <f t="shared" si="4"/>
        <v>March-2017</v>
      </c>
      <c r="E153" s="129" t="s">
        <v>32</v>
      </c>
      <c r="F153" s="130">
        <v>1705.6999999999998</v>
      </c>
      <c r="G153" s="130">
        <v>383.20000000000005</v>
      </c>
      <c r="H153" s="130">
        <v>256.7</v>
      </c>
      <c r="I153" s="130">
        <v>244.8</v>
      </c>
      <c r="J153" s="130">
        <v>120.8</v>
      </c>
      <c r="K153" s="130">
        <v>115.6</v>
      </c>
      <c r="L153" s="131">
        <v>122.4</v>
      </c>
      <c r="M153" s="131">
        <v>132.80000000000001</v>
      </c>
      <c r="N153" s="131">
        <v>147.5</v>
      </c>
      <c r="O153" s="131">
        <v>122.6</v>
      </c>
      <c r="P153" s="131">
        <v>128.69999999999999</v>
      </c>
      <c r="Q153" s="131">
        <f t="shared" si="5"/>
        <v>3352.1</v>
      </c>
    </row>
    <row r="154" spans="1:17" x14ac:dyDescent="0.35">
      <c r="A154" s="129" t="s">
        <v>34</v>
      </c>
      <c r="B154" s="129">
        <v>2017</v>
      </c>
      <c r="C154" s="129" t="s">
        <v>36</v>
      </c>
      <c r="D154" s="129" t="str">
        <f t="shared" si="4"/>
        <v>March-2017</v>
      </c>
      <c r="E154" s="129" t="s">
        <v>32</v>
      </c>
      <c r="F154" s="130">
        <v>1718.9</v>
      </c>
      <c r="G154" s="130">
        <v>404.29999999999995</v>
      </c>
      <c r="H154" s="130">
        <v>261.2</v>
      </c>
      <c r="I154" s="130">
        <v>250.39999999999998</v>
      </c>
      <c r="J154" s="130">
        <v>129.1</v>
      </c>
      <c r="K154" s="130">
        <v>117.6</v>
      </c>
      <c r="L154" s="131">
        <v>125</v>
      </c>
      <c r="M154" s="131">
        <v>133.80000000000001</v>
      </c>
      <c r="N154" s="131">
        <v>145.1</v>
      </c>
      <c r="O154" s="131">
        <v>125.1</v>
      </c>
      <c r="P154" s="131">
        <v>130.9</v>
      </c>
      <c r="Q154" s="131">
        <f t="shared" si="5"/>
        <v>3410.4999999999995</v>
      </c>
    </row>
    <row r="155" spans="1:17" x14ac:dyDescent="0.35">
      <c r="A155" s="129" t="s">
        <v>30</v>
      </c>
      <c r="B155" s="129">
        <v>2017</v>
      </c>
      <c r="C155" s="129" t="s">
        <v>37</v>
      </c>
      <c r="D155" s="129" t="str">
        <f t="shared" si="4"/>
        <v>April-2017</v>
      </c>
      <c r="E155" s="129" t="s">
        <v>32</v>
      </c>
      <c r="F155" s="130">
        <v>1726.3</v>
      </c>
      <c r="G155" s="130">
        <v>420.80000000000007</v>
      </c>
      <c r="H155" s="130">
        <v>266</v>
      </c>
      <c r="I155" s="130">
        <v>254.7</v>
      </c>
      <c r="J155" s="130">
        <v>135</v>
      </c>
      <c r="K155" s="130">
        <v>119.2</v>
      </c>
      <c r="L155" s="131">
        <v>128.30000000000001</v>
      </c>
      <c r="M155" s="131">
        <v>135.69999999999999</v>
      </c>
      <c r="N155" s="131">
        <v>144.4</v>
      </c>
      <c r="O155" s="131">
        <v>127.5</v>
      </c>
      <c r="P155" s="131">
        <v>132.9</v>
      </c>
      <c r="Q155" s="131">
        <f t="shared" si="5"/>
        <v>3457.8999999999996</v>
      </c>
    </row>
    <row r="156" spans="1:17" x14ac:dyDescent="0.35">
      <c r="A156" s="129" t="s">
        <v>33</v>
      </c>
      <c r="B156" s="129">
        <v>2017</v>
      </c>
      <c r="C156" s="129" t="s">
        <v>37</v>
      </c>
      <c r="D156" s="129" t="str">
        <f t="shared" si="4"/>
        <v>April-2017</v>
      </c>
      <c r="E156" s="129" t="s">
        <v>32</v>
      </c>
      <c r="F156" s="130">
        <v>1708.1</v>
      </c>
      <c r="G156" s="130">
        <v>384.2</v>
      </c>
      <c r="H156" s="130">
        <v>257.7</v>
      </c>
      <c r="I156" s="130">
        <v>245.60000000000002</v>
      </c>
      <c r="J156" s="130">
        <v>121.4</v>
      </c>
      <c r="K156" s="130">
        <v>114.3</v>
      </c>
      <c r="L156" s="131">
        <v>122.6</v>
      </c>
      <c r="M156" s="131">
        <v>133.6</v>
      </c>
      <c r="N156" s="131">
        <v>148</v>
      </c>
      <c r="O156" s="131">
        <v>122.5</v>
      </c>
      <c r="P156" s="131">
        <v>129.1</v>
      </c>
      <c r="Q156" s="131">
        <f t="shared" si="5"/>
        <v>3357.9999999999995</v>
      </c>
    </row>
    <row r="157" spans="1:17" x14ac:dyDescent="0.35">
      <c r="A157" s="129" t="s">
        <v>34</v>
      </c>
      <c r="B157" s="129">
        <v>2017</v>
      </c>
      <c r="C157" s="129" t="s">
        <v>37</v>
      </c>
      <c r="D157" s="129" t="str">
        <f t="shared" si="4"/>
        <v>April-2017</v>
      </c>
      <c r="E157" s="129" t="s">
        <v>32</v>
      </c>
      <c r="F157" s="130">
        <v>1718.4</v>
      </c>
      <c r="G157" s="130">
        <v>406.1</v>
      </c>
      <c r="H157" s="130">
        <v>262.10000000000002</v>
      </c>
      <c r="I157" s="130">
        <v>251.2</v>
      </c>
      <c r="J157" s="130">
        <v>129.80000000000001</v>
      </c>
      <c r="K157" s="130">
        <v>116.6</v>
      </c>
      <c r="L157" s="131">
        <v>125.1</v>
      </c>
      <c r="M157" s="131">
        <v>134.5</v>
      </c>
      <c r="N157" s="131">
        <v>145.4</v>
      </c>
      <c r="O157" s="131">
        <v>125.1</v>
      </c>
      <c r="P157" s="131">
        <v>131.1</v>
      </c>
      <c r="Q157" s="131">
        <f t="shared" si="5"/>
        <v>3414.2999999999997</v>
      </c>
    </row>
    <row r="158" spans="1:17" x14ac:dyDescent="0.35">
      <c r="A158" s="129" t="s">
        <v>30</v>
      </c>
      <c r="B158" s="129">
        <v>2017</v>
      </c>
      <c r="C158" s="129" t="s">
        <v>38</v>
      </c>
      <c r="D158" s="129" t="str">
        <f t="shared" si="4"/>
        <v>May-2017</v>
      </c>
      <c r="E158" s="129" t="s">
        <v>32</v>
      </c>
      <c r="F158" s="130">
        <v>1727.4999999999995</v>
      </c>
      <c r="G158" s="130">
        <v>421.6</v>
      </c>
      <c r="H158" s="130">
        <v>267</v>
      </c>
      <c r="I158" s="130">
        <v>255.10000000000002</v>
      </c>
      <c r="J158" s="130">
        <v>135</v>
      </c>
      <c r="K158" s="130">
        <v>119.4</v>
      </c>
      <c r="L158" s="131">
        <v>129.4</v>
      </c>
      <c r="M158" s="131">
        <v>136.30000000000001</v>
      </c>
      <c r="N158" s="131">
        <v>145.5</v>
      </c>
      <c r="O158" s="131">
        <v>127.9</v>
      </c>
      <c r="P158" s="131">
        <v>133.30000000000001</v>
      </c>
      <c r="Q158" s="131">
        <f t="shared" si="5"/>
        <v>3464.7</v>
      </c>
    </row>
    <row r="159" spans="1:17" x14ac:dyDescent="0.35">
      <c r="A159" s="129" t="s">
        <v>33</v>
      </c>
      <c r="B159" s="129">
        <v>2017</v>
      </c>
      <c r="C159" s="129" t="s">
        <v>38</v>
      </c>
      <c r="D159" s="129" t="str">
        <f t="shared" si="4"/>
        <v>May-2017</v>
      </c>
      <c r="E159" s="129" t="s">
        <v>32</v>
      </c>
      <c r="F159" s="130">
        <v>1709.6</v>
      </c>
      <c r="G159" s="130">
        <v>384.9</v>
      </c>
      <c r="H159" s="130">
        <v>258.60000000000002</v>
      </c>
      <c r="I159" s="130">
        <v>245.6</v>
      </c>
      <c r="J159" s="130">
        <v>120.1</v>
      </c>
      <c r="K159" s="130">
        <v>114.3</v>
      </c>
      <c r="L159" s="131">
        <v>122.8</v>
      </c>
      <c r="M159" s="131">
        <v>133.80000000000001</v>
      </c>
      <c r="N159" s="131">
        <v>148.30000000000001</v>
      </c>
      <c r="O159" s="131">
        <v>122.6</v>
      </c>
      <c r="P159" s="131">
        <v>129.30000000000001</v>
      </c>
      <c r="Q159" s="131">
        <f t="shared" si="5"/>
        <v>3360.6000000000004</v>
      </c>
    </row>
    <row r="160" spans="1:17" x14ac:dyDescent="0.35">
      <c r="A160" s="129" t="s">
        <v>34</v>
      </c>
      <c r="B160" s="129">
        <v>2017</v>
      </c>
      <c r="C160" s="129" t="s">
        <v>38</v>
      </c>
      <c r="D160" s="129" t="str">
        <f t="shared" si="4"/>
        <v>May-2017</v>
      </c>
      <c r="E160" s="129" t="s">
        <v>32</v>
      </c>
      <c r="F160" s="130">
        <v>1719.6000000000001</v>
      </c>
      <c r="G160" s="130">
        <v>406.8</v>
      </c>
      <c r="H160" s="130">
        <v>263</v>
      </c>
      <c r="I160" s="130">
        <v>251.4</v>
      </c>
      <c r="J160" s="130">
        <v>129.4</v>
      </c>
      <c r="K160" s="130">
        <v>116.7</v>
      </c>
      <c r="L160" s="131">
        <v>125.7</v>
      </c>
      <c r="M160" s="131">
        <v>134.80000000000001</v>
      </c>
      <c r="N160" s="131">
        <v>146.19999999999999</v>
      </c>
      <c r="O160" s="131">
        <v>125.3</v>
      </c>
      <c r="P160" s="131">
        <v>131.4</v>
      </c>
      <c r="Q160" s="131">
        <f t="shared" si="5"/>
        <v>3418.9</v>
      </c>
    </row>
    <row r="161" spans="1:17" x14ac:dyDescent="0.35">
      <c r="A161" s="129" t="s">
        <v>30</v>
      </c>
      <c r="B161" s="129">
        <v>2017</v>
      </c>
      <c r="C161" s="129" t="s">
        <v>39</v>
      </c>
      <c r="D161" s="129" t="str">
        <f t="shared" si="4"/>
        <v>June-2017</v>
      </c>
      <c r="E161" s="129" t="s">
        <v>32</v>
      </c>
      <c r="F161" s="130">
        <v>1738.8000000000002</v>
      </c>
      <c r="G161" s="130">
        <v>423.09999999999997</v>
      </c>
      <c r="H161" s="130">
        <v>266.60000000000002</v>
      </c>
      <c r="I161" s="130">
        <v>255.4</v>
      </c>
      <c r="J161" s="130">
        <v>134.80000000000001</v>
      </c>
      <c r="K161" s="130">
        <v>119.4</v>
      </c>
      <c r="L161" s="131">
        <v>129.80000000000001</v>
      </c>
      <c r="M161" s="131">
        <v>136.9</v>
      </c>
      <c r="N161" s="131">
        <v>145.80000000000001</v>
      </c>
      <c r="O161" s="131">
        <v>128.1</v>
      </c>
      <c r="P161" s="131">
        <v>133.9</v>
      </c>
      <c r="Q161" s="131">
        <f t="shared" si="5"/>
        <v>3478.7000000000007</v>
      </c>
    </row>
    <row r="162" spans="1:17" x14ac:dyDescent="0.35">
      <c r="A162" s="129" t="s">
        <v>33</v>
      </c>
      <c r="B162" s="129">
        <v>2017</v>
      </c>
      <c r="C162" s="129" t="s">
        <v>39</v>
      </c>
      <c r="D162" s="129" t="str">
        <f t="shared" si="4"/>
        <v>June-2017</v>
      </c>
      <c r="E162" s="129" t="s">
        <v>32</v>
      </c>
      <c r="F162" s="130">
        <v>1731.0000000000002</v>
      </c>
      <c r="G162" s="130">
        <v>384.9</v>
      </c>
      <c r="H162" s="130">
        <v>258.2</v>
      </c>
      <c r="I162" s="130">
        <v>246.3</v>
      </c>
      <c r="J162" s="130">
        <v>119</v>
      </c>
      <c r="K162" s="130">
        <v>113.9</v>
      </c>
      <c r="L162" s="131">
        <v>122.9</v>
      </c>
      <c r="M162" s="131">
        <v>134.30000000000001</v>
      </c>
      <c r="N162" s="131">
        <v>148.6</v>
      </c>
      <c r="O162" s="131">
        <v>122.7</v>
      </c>
      <c r="P162" s="131">
        <v>129.9</v>
      </c>
      <c r="Q162" s="131">
        <f t="shared" si="5"/>
        <v>3381.8</v>
      </c>
    </row>
    <row r="163" spans="1:17" x14ac:dyDescent="0.35">
      <c r="A163" s="129" t="s">
        <v>34</v>
      </c>
      <c r="B163" s="129">
        <v>2017</v>
      </c>
      <c r="C163" s="129" t="s">
        <v>39</v>
      </c>
      <c r="D163" s="129" t="str">
        <f t="shared" si="4"/>
        <v>June-2017</v>
      </c>
      <c r="E163" s="129" t="s">
        <v>32</v>
      </c>
      <c r="F163" s="130">
        <v>1734.7</v>
      </c>
      <c r="G163" s="130">
        <v>407.7</v>
      </c>
      <c r="H163" s="130">
        <v>262.60000000000002</v>
      </c>
      <c r="I163" s="130">
        <v>251.9</v>
      </c>
      <c r="J163" s="130">
        <v>128.80000000000001</v>
      </c>
      <c r="K163" s="130">
        <v>116.5</v>
      </c>
      <c r="L163" s="131">
        <v>125.9</v>
      </c>
      <c r="M163" s="131">
        <v>135.4</v>
      </c>
      <c r="N163" s="131">
        <v>146.5</v>
      </c>
      <c r="O163" s="131">
        <v>125.5</v>
      </c>
      <c r="P163" s="131">
        <v>132</v>
      </c>
      <c r="Q163" s="131">
        <f t="shared" si="5"/>
        <v>3435.5000000000005</v>
      </c>
    </row>
    <row r="164" spans="1:17" x14ac:dyDescent="0.35">
      <c r="A164" s="129" t="s">
        <v>30</v>
      </c>
      <c r="B164" s="129">
        <v>2017</v>
      </c>
      <c r="C164" s="129" t="s">
        <v>40</v>
      </c>
      <c r="D164" s="129" t="str">
        <f t="shared" si="4"/>
        <v>July-2017</v>
      </c>
      <c r="E164" s="129" t="s">
        <v>32</v>
      </c>
      <c r="F164" s="130">
        <v>1772.9</v>
      </c>
      <c r="G164" s="130">
        <v>425.9</v>
      </c>
      <c r="H164" s="130">
        <v>268.7</v>
      </c>
      <c r="I164" s="130">
        <v>256.5</v>
      </c>
      <c r="J164" s="130">
        <v>135.30000000000001</v>
      </c>
      <c r="K164" s="130">
        <v>119.1</v>
      </c>
      <c r="L164" s="131">
        <v>130.6</v>
      </c>
      <c r="M164" s="131">
        <v>138.6</v>
      </c>
      <c r="N164" s="131">
        <v>147.4</v>
      </c>
      <c r="O164" s="131">
        <v>128.6</v>
      </c>
      <c r="P164" s="131">
        <v>136.19999999999999</v>
      </c>
      <c r="Q164" s="131">
        <f t="shared" si="5"/>
        <v>3523.6</v>
      </c>
    </row>
    <row r="165" spans="1:17" x14ac:dyDescent="0.35">
      <c r="A165" s="129" t="s">
        <v>33</v>
      </c>
      <c r="B165" s="129">
        <v>2017</v>
      </c>
      <c r="C165" s="129" t="s">
        <v>40</v>
      </c>
      <c r="D165" s="129" t="str">
        <f t="shared" si="4"/>
        <v>July-2017</v>
      </c>
      <c r="E165" s="129" t="s">
        <v>32</v>
      </c>
      <c r="F165" s="130">
        <v>1768.1</v>
      </c>
      <c r="G165" s="130">
        <v>385.70000000000005</v>
      </c>
      <c r="H165" s="130">
        <v>259.8</v>
      </c>
      <c r="I165" s="130">
        <v>247.4</v>
      </c>
      <c r="J165" s="130">
        <v>119.7</v>
      </c>
      <c r="K165" s="130">
        <v>113.2</v>
      </c>
      <c r="L165" s="131">
        <v>123.5</v>
      </c>
      <c r="M165" s="131">
        <v>135.5</v>
      </c>
      <c r="N165" s="131">
        <v>150.5</v>
      </c>
      <c r="O165" s="131">
        <v>123</v>
      </c>
      <c r="P165" s="131">
        <v>131.80000000000001</v>
      </c>
      <c r="Q165" s="131">
        <f t="shared" si="5"/>
        <v>3426.4</v>
      </c>
    </row>
    <row r="166" spans="1:17" x14ac:dyDescent="0.35">
      <c r="A166" s="129" t="s">
        <v>34</v>
      </c>
      <c r="B166" s="129">
        <v>2017</v>
      </c>
      <c r="C166" s="129" t="s">
        <v>40</v>
      </c>
      <c r="D166" s="129" t="str">
        <f t="shared" si="4"/>
        <v>July-2017</v>
      </c>
      <c r="E166" s="129" t="s">
        <v>32</v>
      </c>
      <c r="F166" s="130">
        <v>1769.3999999999999</v>
      </c>
      <c r="G166" s="130">
        <v>409.7</v>
      </c>
      <c r="H166" s="130">
        <v>264.5</v>
      </c>
      <c r="I166" s="130">
        <v>253</v>
      </c>
      <c r="J166" s="130">
        <v>129.4</v>
      </c>
      <c r="K166" s="130">
        <v>116</v>
      </c>
      <c r="L166" s="131">
        <v>126.6</v>
      </c>
      <c r="M166" s="131">
        <v>136.80000000000001</v>
      </c>
      <c r="N166" s="131">
        <v>148.19999999999999</v>
      </c>
      <c r="O166" s="131">
        <v>125.9</v>
      </c>
      <c r="P166" s="131">
        <v>134.19999999999999</v>
      </c>
      <c r="Q166" s="131">
        <f t="shared" si="5"/>
        <v>3479.5</v>
      </c>
    </row>
    <row r="167" spans="1:17" x14ac:dyDescent="0.35">
      <c r="A167" s="129" t="s">
        <v>30</v>
      </c>
      <c r="B167" s="129">
        <v>2017</v>
      </c>
      <c r="C167" s="129" t="s">
        <v>41</v>
      </c>
      <c r="D167" s="129" t="str">
        <f t="shared" si="4"/>
        <v>August-2017</v>
      </c>
      <c r="E167" s="129" t="s">
        <v>32</v>
      </c>
      <c r="F167" s="130">
        <v>1792.4999999999998</v>
      </c>
      <c r="G167" s="130">
        <v>429</v>
      </c>
      <c r="H167" s="130">
        <v>271.70000000000005</v>
      </c>
      <c r="I167" s="130">
        <v>258.39999999999998</v>
      </c>
      <c r="J167" s="130">
        <v>136.4</v>
      </c>
      <c r="K167" s="130">
        <v>120.3</v>
      </c>
      <c r="L167" s="131">
        <v>131.5</v>
      </c>
      <c r="M167" s="131">
        <v>140.19999999999999</v>
      </c>
      <c r="N167" s="131">
        <v>149</v>
      </c>
      <c r="O167" s="131">
        <v>129.69999999999999</v>
      </c>
      <c r="P167" s="131">
        <v>137.80000000000001</v>
      </c>
      <c r="Q167" s="131">
        <f t="shared" si="5"/>
        <v>3558.7</v>
      </c>
    </row>
    <row r="168" spans="1:17" x14ac:dyDescent="0.35">
      <c r="A168" s="129" t="s">
        <v>33</v>
      </c>
      <c r="B168" s="129">
        <v>2017</v>
      </c>
      <c r="C168" s="129" t="s">
        <v>41</v>
      </c>
      <c r="D168" s="129" t="str">
        <f t="shared" si="4"/>
        <v>August-2017</v>
      </c>
      <c r="E168" s="129" t="s">
        <v>32</v>
      </c>
      <c r="F168" s="130">
        <v>1772.9999999999998</v>
      </c>
      <c r="G168" s="130">
        <v>388.4</v>
      </c>
      <c r="H168" s="130">
        <v>262.10000000000002</v>
      </c>
      <c r="I168" s="130">
        <v>249</v>
      </c>
      <c r="J168" s="130">
        <v>118.9</v>
      </c>
      <c r="K168" s="130">
        <v>114.6</v>
      </c>
      <c r="L168" s="131">
        <v>124.1</v>
      </c>
      <c r="M168" s="131">
        <v>135.69999999999999</v>
      </c>
      <c r="N168" s="131">
        <v>152.1</v>
      </c>
      <c r="O168" s="131">
        <v>123.8</v>
      </c>
      <c r="P168" s="131">
        <v>132.69999999999999</v>
      </c>
      <c r="Q168" s="131">
        <f t="shared" si="5"/>
        <v>3441.6999999999994</v>
      </c>
    </row>
    <row r="169" spans="1:17" x14ac:dyDescent="0.35">
      <c r="A169" s="129" t="s">
        <v>34</v>
      </c>
      <c r="B169" s="129">
        <v>2017</v>
      </c>
      <c r="C169" s="129" t="s">
        <v>41</v>
      </c>
      <c r="D169" s="129" t="str">
        <f t="shared" si="4"/>
        <v>August-2017</v>
      </c>
      <c r="E169" s="129" t="s">
        <v>32</v>
      </c>
      <c r="F169" s="130">
        <v>1783.8</v>
      </c>
      <c r="G169" s="130">
        <v>412.6</v>
      </c>
      <c r="H169" s="130">
        <v>267.20000000000005</v>
      </c>
      <c r="I169" s="130">
        <v>254.7</v>
      </c>
      <c r="J169" s="130">
        <v>129.80000000000001</v>
      </c>
      <c r="K169" s="130">
        <v>117.3</v>
      </c>
      <c r="L169" s="131">
        <v>127.3</v>
      </c>
      <c r="M169" s="131">
        <v>137.6</v>
      </c>
      <c r="N169" s="131">
        <v>149.80000000000001</v>
      </c>
      <c r="O169" s="131">
        <v>126.8</v>
      </c>
      <c r="P169" s="131">
        <v>135.4</v>
      </c>
      <c r="Q169" s="131">
        <f t="shared" si="5"/>
        <v>3506.900000000001</v>
      </c>
    </row>
    <row r="170" spans="1:17" x14ac:dyDescent="0.35">
      <c r="A170" s="129" t="s">
        <v>30</v>
      </c>
      <c r="B170" s="129">
        <v>2017</v>
      </c>
      <c r="C170" s="129" t="s">
        <v>42</v>
      </c>
      <c r="D170" s="129" t="str">
        <f t="shared" si="4"/>
        <v>September-2017</v>
      </c>
      <c r="E170" s="129" t="s">
        <v>32</v>
      </c>
      <c r="F170" s="130">
        <v>1784.3</v>
      </c>
      <c r="G170" s="130">
        <v>430.99999999999994</v>
      </c>
      <c r="H170" s="130">
        <v>273.60000000000002</v>
      </c>
      <c r="I170" s="130">
        <v>260.10000000000002</v>
      </c>
      <c r="J170" s="130">
        <v>137.4</v>
      </c>
      <c r="K170" s="130">
        <v>121.2</v>
      </c>
      <c r="L170" s="131">
        <v>132.30000000000001</v>
      </c>
      <c r="M170" s="131">
        <v>139.6</v>
      </c>
      <c r="N170" s="131">
        <v>149.80000000000001</v>
      </c>
      <c r="O170" s="131">
        <v>130.30000000000001</v>
      </c>
      <c r="P170" s="131">
        <v>137.6</v>
      </c>
      <c r="Q170" s="131">
        <f t="shared" si="5"/>
        <v>3559.6</v>
      </c>
    </row>
    <row r="171" spans="1:17" x14ac:dyDescent="0.35">
      <c r="A171" s="129" t="s">
        <v>33</v>
      </c>
      <c r="B171" s="129">
        <v>2017</v>
      </c>
      <c r="C171" s="129" t="s">
        <v>42</v>
      </c>
      <c r="D171" s="129" t="str">
        <f t="shared" si="4"/>
        <v>September-2017</v>
      </c>
      <c r="E171" s="129" t="s">
        <v>32</v>
      </c>
      <c r="F171" s="130">
        <v>1749.7</v>
      </c>
      <c r="G171" s="130">
        <v>389.9</v>
      </c>
      <c r="H171" s="130">
        <v>263.79999999999995</v>
      </c>
      <c r="I171" s="130">
        <v>250.5</v>
      </c>
      <c r="J171" s="130">
        <v>120.6</v>
      </c>
      <c r="K171" s="130">
        <v>115.7</v>
      </c>
      <c r="L171" s="131">
        <v>124.5</v>
      </c>
      <c r="M171" s="131">
        <v>135.9</v>
      </c>
      <c r="N171" s="131">
        <v>153.6</v>
      </c>
      <c r="O171" s="131">
        <v>124.5</v>
      </c>
      <c r="P171" s="131">
        <v>132.4</v>
      </c>
      <c r="Q171" s="131">
        <f t="shared" si="5"/>
        <v>3428.6999999999994</v>
      </c>
    </row>
    <row r="172" spans="1:17" x14ac:dyDescent="0.35">
      <c r="A172" s="129" t="s">
        <v>34</v>
      </c>
      <c r="B172" s="129">
        <v>2017</v>
      </c>
      <c r="C172" s="129" t="s">
        <v>42</v>
      </c>
      <c r="D172" s="129" t="str">
        <f t="shared" si="4"/>
        <v>September-2017</v>
      </c>
      <c r="E172" s="129" t="s">
        <v>32</v>
      </c>
      <c r="F172" s="130">
        <v>1769.9999999999998</v>
      </c>
      <c r="G172" s="130">
        <v>414.5</v>
      </c>
      <c r="H172" s="130">
        <v>269</v>
      </c>
      <c r="I172" s="130">
        <v>256.3</v>
      </c>
      <c r="J172" s="130">
        <v>131</v>
      </c>
      <c r="K172" s="130">
        <v>118.3</v>
      </c>
      <c r="L172" s="131">
        <v>127.9</v>
      </c>
      <c r="M172" s="131">
        <v>137.4</v>
      </c>
      <c r="N172" s="131">
        <v>150.80000000000001</v>
      </c>
      <c r="O172" s="131">
        <v>127.5</v>
      </c>
      <c r="P172" s="131">
        <v>135.19999999999999</v>
      </c>
      <c r="Q172" s="131">
        <f t="shared" si="5"/>
        <v>3502.7000000000007</v>
      </c>
    </row>
    <row r="173" spans="1:17" x14ac:dyDescent="0.35">
      <c r="A173" s="129" t="s">
        <v>30</v>
      </c>
      <c r="B173" s="129">
        <v>2017</v>
      </c>
      <c r="C173" s="129" t="s">
        <v>43</v>
      </c>
      <c r="D173" s="129" t="str">
        <f t="shared" si="4"/>
        <v>October-2017</v>
      </c>
      <c r="E173" s="129" t="s">
        <v>32</v>
      </c>
      <c r="F173" s="130">
        <v>1790.8999999999999</v>
      </c>
      <c r="G173" s="130">
        <v>433.99999999999994</v>
      </c>
      <c r="H173" s="130">
        <v>275.70000000000005</v>
      </c>
      <c r="I173" s="130">
        <v>261.60000000000002</v>
      </c>
      <c r="J173" s="130">
        <v>138.1</v>
      </c>
      <c r="K173" s="130">
        <v>121</v>
      </c>
      <c r="L173" s="131">
        <v>133</v>
      </c>
      <c r="M173" s="131">
        <v>140.1</v>
      </c>
      <c r="N173" s="131">
        <v>150.5</v>
      </c>
      <c r="O173" s="131">
        <v>130.69999999999999</v>
      </c>
      <c r="P173" s="131">
        <v>138.30000000000001</v>
      </c>
      <c r="Q173" s="131">
        <f t="shared" si="5"/>
        <v>3575.599999999999</v>
      </c>
    </row>
    <row r="174" spans="1:17" x14ac:dyDescent="0.35">
      <c r="A174" s="129" t="s">
        <v>33</v>
      </c>
      <c r="B174" s="129">
        <v>2017</v>
      </c>
      <c r="C174" s="129" t="s">
        <v>43</v>
      </c>
      <c r="D174" s="129" t="str">
        <f t="shared" si="4"/>
        <v>October-2017</v>
      </c>
      <c r="E174" s="129" t="s">
        <v>32</v>
      </c>
      <c r="F174" s="130">
        <v>1765.6999999999998</v>
      </c>
      <c r="G174" s="130">
        <v>391.5</v>
      </c>
      <c r="H174" s="130">
        <v>265.60000000000002</v>
      </c>
      <c r="I174" s="130">
        <v>251.2</v>
      </c>
      <c r="J174" s="130">
        <v>122.6</v>
      </c>
      <c r="K174" s="130">
        <v>115</v>
      </c>
      <c r="L174" s="131">
        <v>124.8</v>
      </c>
      <c r="M174" s="131">
        <v>136.30000000000001</v>
      </c>
      <c r="N174" s="131">
        <v>154.6</v>
      </c>
      <c r="O174" s="131">
        <v>124.5</v>
      </c>
      <c r="P174" s="131">
        <v>133.5</v>
      </c>
      <c r="Q174" s="131">
        <f t="shared" si="5"/>
        <v>3451.7999999999997</v>
      </c>
    </row>
    <row r="175" spans="1:17" x14ac:dyDescent="0.35">
      <c r="A175" s="129" t="s">
        <v>34</v>
      </c>
      <c r="B175" s="129">
        <v>2017</v>
      </c>
      <c r="C175" s="129" t="s">
        <v>43</v>
      </c>
      <c r="D175" s="129" t="str">
        <f t="shared" si="4"/>
        <v>October-2017</v>
      </c>
      <c r="E175" s="129" t="s">
        <v>32</v>
      </c>
      <c r="F175" s="130">
        <v>1779.6999999999998</v>
      </c>
      <c r="G175" s="130">
        <v>416.90000000000003</v>
      </c>
      <c r="H175" s="130">
        <v>270.89999999999998</v>
      </c>
      <c r="I175" s="130">
        <v>257.5</v>
      </c>
      <c r="J175" s="130">
        <v>132.19999999999999</v>
      </c>
      <c r="K175" s="130">
        <v>117.8</v>
      </c>
      <c r="L175" s="131">
        <v>128.4</v>
      </c>
      <c r="M175" s="131">
        <v>137.9</v>
      </c>
      <c r="N175" s="131">
        <v>151.6</v>
      </c>
      <c r="O175" s="131">
        <v>127.7</v>
      </c>
      <c r="P175" s="131">
        <v>136.1</v>
      </c>
      <c r="Q175" s="131">
        <f t="shared" si="5"/>
        <v>3520.6</v>
      </c>
    </row>
    <row r="176" spans="1:17" x14ac:dyDescent="0.35">
      <c r="A176" s="129" t="s">
        <v>30</v>
      </c>
      <c r="B176" s="129">
        <v>2017</v>
      </c>
      <c r="C176" s="129" t="s">
        <v>45</v>
      </c>
      <c r="D176" s="129" t="str">
        <f t="shared" si="4"/>
        <v>November-2017</v>
      </c>
      <c r="E176" s="129" t="s">
        <v>32</v>
      </c>
      <c r="F176" s="130">
        <v>1817.7000000000003</v>
      </c>
      <c r="G176" s="130">
        <v>437</v>
      </c>
      <c r="H176" s="130">
        <v>278</v>
      </c>
      <c r="I176" s="130">
        <v>263.89999999999998</v>
      </c>
      <c r="J176" s="130">
        <v>141.1</v>
      </c>
      <c r="K176" s="130">
        <v>121.6</v>
      </c>
      <c r="L176" s="131">
        <v>133.69999999999999</v>
      </c>
      <c r="M176" s="131">
        <v>141.5</v>
      </c>
      <c r="N176" s="131">
        <v>152.1</v>
      </c>
      <c r="O176" s="131">
        <v>131.69999999999999</v>
      </c>
      <c r="P176" s="131">
        <v>140</v>
      </c>
      <c r="Q176" s="131">
        <f t="shared" si="5"/>
        <v>3618.2999999999997</v>
      </c>
    </row>
    <row r="177" spans="1:17" x14ac:dyDescent="0.35">
      <c r="A177" s="129" t="s">
        <v>33</v>
      </c>
      <c r="B177" s="129">
        <v>2017</v>
      </c>
      <c r="C177" s="129" t="s">
        <v>45</v>
      </c>
      <c r="D177" s="129" t="str">
        <f t="shared" si="4"/>
        <v>November-2017</v>
      </c>
      <c r="E177" s="129" t="s">
        <v>32</v>
      </c>
      <c r="F177" s="130">
        <v>1796.7</v>
      </c>
      <c r="G177" s="130">
        <v>393.9</v>
      </c>
      <c r="H177" s="130">
        <v>267.39999999999998</v>
      </c>
      <c r="I177" s="130">
        <v>252.3</v>
      </c>
      <c r="J177" s="130">
        <v>125.7</v>
      </c>
      <c r="K177" s="130">
        <v>115.3</v>
      </c>
      <c r="L177" s="131">
        <v>125.1</v>
      </c>
      <c r="M177" s="131">
        <v>136.6</v>
      </c>
      <c r="N177" s="131">
        <v>156.19999999999999</v>
      </c>
      <c r="O177" s="131">
        <v>124.9</v>
      </c>
      <c r="P177" s="131">
        <v>134.80000000000001</v>
      </c>
      <c r="Q177" s="131">
        <f t="shared" si="5"/>
        <v>3494.1</v>
      </c>
    </row>
    <row r="178" spans="1:17" x14ac:dyDescent="0.35">
      <c r="A178" s="129" t="s">
        <v>34</v>
      </c>
      <c r="B178" s="129">
        <v>2017</v>
      </c>
      <c r="C178" s="129" t="s">
        <v>45</v>
      </c>
      <c r="D178" s="129" t="str">
        <f t="shared" si="4"/>
        <v>November-2017</v>
      </c>
      <c r="E178" s="129" t="s">
        <v>32</v>
      </c>
      <c r="F178" s="130">
        <v>1808.2</v>
      </c>
      <c r="G178" s="130">
        <v>419.6</v>
      </c>
      <c r="H178" s="130">
        <v>273</v>
      </c>
      <c r="I178" s="130">
        <v>259.39999999999998</v>
      </c>
      <c r="J178" s="130">
        <v>135.30000000000001</v>
      </c>
      <c r="K178" s="130">
        <v>118.3</v>
      </c>
      <c r="L178" s="131">
        <v>128.9</v>
      </c>
      <c r="M178" s="131">
        <v>138.6</v>
      </c>
      <c r="N178" s="131">
        <v>153.19999999999999</v>
      </c>
      <c r="O178" s="131">
        <v>128.4</v>
      </c>
      <c r="P178" s="131">
        <v>137.6</v>
      </c>
      <c r="Q178" s="131">
        <f t="shared" si="5"/>
        <v>3562.9000000000005</v>
      </c>
    </row>
    <row r="179" spans="1:17" x14ac:dyDescent="0.35">
      <c r="A179" s="129" t="s">
        <v>30</v>
      </c>
      <c r="B179" s="129">
        <v>2017</v>
      </c>
      <c r="C179" s="129" t="s">
        <v>46</v>
      </c>
      <c r="D179" s="129" t="str">
        <f t="shared" si="4"/>
        <v>December-2017</v>
      </c>
      <c r="E179" s="129" t="s">
        <v>32</v>
      </c>
      <c r="F179" s="130">
        <v>1813.6000000000001</v>
      </c>
      <c r="G179" s="130">
        <v>437.09999999999997</v>
      </c>
      <c r="H179" s="130">
        <v>278.60000000000002</v>
      </c>
      <c r="I179" s="130">
        <v>263.89999999999998</v>
      </c>
      <c r="J179" s="130">
        <v>142.6</v>
      </c>
      <c r="K179" s="130">
        <v>122</v>
      </c>
      <c r="L179" s="131">
        <v>133.4</v>
      </c>
      <c r="M179" s="131">
        <v>141.1</v>
      </c>
      <c r="N179" s="131">
        <v>153.19999999999999</v>
      </c>
      <c r="O179" s="131">
        <v>131.9</v>
      </c>
      <c r="P179" s="131">
        <v>139.80000000000001</v>
      </c>
      <c r="Q179" s="131">
        <f t="shared" si="5"/>
        <v>3617.4</v>
      </c>
    </row>
    <row r="180" spans="1:17" x14ac:dyDescent="0.35">
      <c r="A180" s="129" t="s">
        <v>33</v>
      </c>
      <c r="B180" s="129">
        <v>2017</v>
      </c>
      <c r="C180" s="129" t="s">
        <v>46</v>
      </c>
      <c r="D180" s="129" t="str">
        <f t="shared" si="4"/>
        <v>December-2017</v>
      </c>
      <c r="E180" s="129" t="s">
        <v>32</v>
      </c>
      <c r="F180" s="130">
        <v>1767.5</v>
      </c>
      <c r="G180" s="130">
        <v>395.2</v>
      </c>
      <c r="H180" s="130">
        <v>268.39999999999998</v>
      </c>
      <c r="I180" s="130">
        <v>252.79999999999998</v>
      </c>
      <c r="J180" s="130">
        <v>126.8</v>
      </c>
      <c r="K180" s="130">
        <v>115.3</v>
      </c>
      <c r="L180" s="131">
        <v>125.6</v>
      </c>
      <c r="M180" s="131">
        <v>136.69999999999999</v>
      </c>
      <c r="N180" s="131">
        <v>157</v>
      </c>
      <c r="O180" s="131">
        <v>125.1</v>
      </c>
      <c r="P180" s="131">
        <v>134.1</v>
      </c>
      <c r="Q180" s="131">
        <f t="shared" si="5"/>
        <v>3470.4</v>
      </c>
    </row>
    <row r="181" spans="1:17" x14ac:dyDescent="0.35">
      <c r="A181" s="129" t="s">
        <v>34</v>
      </c>
      <c r="B181" s="129">
        <v>2017</v>
      </c>
      <c r="C181" s="129" t="s">
        <v>46</v>
      </c>
      <c r="D181" s="129" t="str">
        <f t="shared" si="4"/>
        <v>December-2017</v>
      </c>
      <c r="E181" s="129" t="s">
        <v>32</v>
      </c>
      <c r="F181" s="130">
        <v>1794.9999999999998</v>
      </c>
      <c r="G181" s="130">
        <v>420.2</v>
      </c>
      <c r="H181" s="130">
        <v>273.79999999999995</v>
      </c>
      <c r="I181" s="130">
        <v>259.60000000000002</v>
      </c>
      <c r="J181" s="130">
        <v>136.6</v>
      </c>
      <c r="K181" s="130">
        <v>118.5</v>
      </c>
      <c r="L181" s="131">
        <v>129</v>
      </c>
      <c r="M181" s="131">
        <v>138.5</v>
      </c>
      <c r="N181" s="131">
        <v>154.19999999999999</v>
      </c>
      <c r="O181" s="131">
        <v>128.6</v>
      </c>
      <c r="P181" s="131">
        <v>137.19999999999999</v>
      </c>
      <c r="Q181" s="131">
        <f t="shared" si="5"/>
        <v>3553.9999999999995</v>
      </c>
    </row>
    <row r="182" spans="1:17" x14ac:dyDescent="0.35">
      <c r="A182" s="129" t="s">
        <v>30</v>
      </c>
      <c r="B182" s="129">
        <v>2018</v>
      </c>
      <c r="C182" s="129" t="s">
        <v>31</v>
      </c>
      <c r="D182" s="129" t="str">
        <f t="shared" si="4"/>
        <v>January-2018</v>
      </c>
      <c r="E182" s="129" t="s">
        <v>32</v>
      </c>
      <c r="F182" s="130">
        <v>1800.7</v>
      </c>
      <c r="G182" s="130">
        <v>438.1</v>
      </c>
      <c r="H182" s="130">
        <v>280.20000000000005</v>
      </c>
      <c r="I182" s="130">
        <v>264.60000000000002</v>
      </c>
      <c r="J182" s="130">
        <v>142.30000000000001</v>
      </c>
      <c r="K182" s="130">
        <v>122.7</v>
      </c>
      <c r="L182" s="131">
        <v>134.30000000000001</v>
      </c>
      <c r="M182" s="131">
        <v>141.6</v>
      </c>
      <c r="N182" s="131">
        <v>153.6</v>
      </c>
      <c r="O182" s="131">
        <v>132.30000000000001</v>
      </c>
      <c r="P182" s="131">
        <v>139.30000000000001</v>
      </c>
      <c r="Q182" s="131">
        <f t="shared" si="5"/>
        <v>3610.4</v>
      </c>
    </row>
    <row r="183" spans="1:17" x14ac:dyDescent="0.35">
      <c r="A183" s="129" t="s">
        <v>33</v>
      </c>
      <c r="B183" s="129">
        <v>2018</v>
      </c>
      <c r="C183" s="129" t="s">
        <v>31</v>
      </c>
      <c r="D183" s="129" t="str">
        <f t="shared" si="4"/>
        <v>January-2018</v>
      </c>
      <c r="E183" s="129" t="s">
        <v>32</v>
      </c>
      <c r="F183" s="130">
        <v>1748.3000000000002</v>
      </c>
      <c r="G183" s="130">
        <v>396.29999999999995</v>
      </c>
      <c r="H183" s="130">
        <v>269.89999999999998</v>
      </c>
      <c r="I183" s="130">
        <v>254.5</v>
      </c>
      <c r="J183" s="130">
        <v>127.3</v>
      </c>
      <c r="K183" s="130">
        <v>116.3</v>
      </c>
      <c r="L183" s="131">
        <v>126.2</v>
      </c>
      <c r="M183" s="131">
        <v>137.1</v>
      </c>
      <c r="N183" s="131">
        <v>157.69999999999999</v>
      </c>
      <c r="O183" s="131">
        <v>125.8</v>
      </c>
      <c r="P183" s="131">
        <v>134.1</v>
      </c>
      <c r="Q183" s="131">
        <f t="shared" si="5"/>
        <v>3459.4000000000005</v>
      </c>
    </row>
    <row r="184" spans="1:17" x14ac:dyDescent="0.35">
      <c r="A184" s="129" t="s">
        <v>34</v>
      </c>
      <c r="B184" s="129">
        <v>2018</v>
      </c>
      <c r="C184" s="129" t="s">
        <v>31</v>
      </c>
      <c r="D184" s="129" t="str">
        <f t="shared" si="4"/>
        <v>January-2018</v>
      </c>
      <c r="E184" s="129" t="s">
        <v>32</v>
      </c>
      <c r="F184" s="130">
        <v>1779.9</v>
      </c>
      <c r="G184" s="130">
        <v>421.3</v>
      </c>
      <c r="H184" s="130">
        <v>275.3</v>
      </c>
      <c r="I184" s="130">
        <v>260.60000000000002</v>
      </c>
      <c r="J184" s="130">
        <v>136.6</v>
      </c>
      <c r="K184" s="130">
        <v>119.3</v>
      </c>
      <c r="L184" s="131">
        <v>129.69999999999999</v>
      </c>
      <c r="M184" s="131">
        <v>139</v>
      </c>
      <c r="N184" s="131">
        <v>154.69999999999999</v>
      </c>
      <c r="O184" s="131">
        <v>129.1</v>
      </c>
      <c r="P184" s="131">
        <v>136.9</v>
      </c>
      <c r="Q184" s="131">
        <f t="shared" si="5"/>
        <v>3545.5</v>
      </c>
    </row>
    <row r="185" spans="1:17" x14ac:dyDescent="0.35">
      <c r="A185" s="129" t="s">
        <v>30</v>
      </c>
      <c r="B185" s="129">
        <v>2018</v>
      </c>
      <c r="C185" s="129" t="s">
        <v>35</v>
      </c>
      <c r="D185" s="129" t="str">
        <f t="shared" si="4"/>
        <v>February-2018</v>
      </c>
      <c r="E185" s="129" t="s">
        <v>32</v>
      </c>
      <c r="F185" s="130">
        <v>1781.5</v>
      </c>
      <c r="G185" s="130">
        <v>438.90000000000003</v>
      </c>
      <c r="H185" s="130">
        <v>281.20000000000005</v>
      </c>
      <c r="I185" s="130">
        <v>265</v>
      </c>
      <c r="J185" s="130">
        <v>142.4</v>
      </c>
      <c r="K185" s="130">
        <v>123.3</v>
      </c>
      <c r="L185" s="131">
        <v>134.30000000000001</v>
      </c>
      <c r="M185" s="131">
        <v>141.5</v>
      </c>
      <c r="N185" s="131">
        <v>153.30000000000001</v>
      </c>
      <c r="O185" s="131">
        <v>132.5</v>
      </c>
      <c r="P185" s="131">
        <v>138.5</v>
      </c>
      <c r="Q185" s="131">
        <f t="shared" si="5"/>
        <v>3593.900000000001</v>
      </c>
    </row>
    <row r="186" spans="1:17" x14ac:dyDescent="0.35">
      <c r="A186" s="129" t="s">
        <v>33</v>
      </c>
      <c r="B186" s="129">
        <v>2018</v>
      </c>
      <c r="C186" s="129" t="s">
        <v>35</v>
      </c>
      <c r="D186" s="129" t="str">
        <f t="shared" si="4"/>
        <v>February-2018</v>
      </c>
      <c r="E186" s="129" t="s">
        <v>32</v>
      </c>
      <c r="F186" s="130">
        <v>1727.9</v>
      </c>
      <c r="G186" s="130">
        <v>397.09999999999997</v>
      </c>
      <c r="H186" s="130">
        <v>271.20000000000005</v>
      </c>
      <c r="I186" s="130">
        <v>256</v>
      </c>
      <c r="J186" s="130">
        <v>127.3</v>
      </c>
      <c r="K186" s="130">
        <v>117.4</v>
      </c>
      <c r="L186" s="131">
        <v>126.5</v>
      </c>
      <c r="M186" s="131">
        <v>137.19999999999999</v>
      </c>
      <c r="N186" s="131">
        <v>159.30000000000001</v>
      </c>
      <c r="O186" s="131">
        <v>126.5</v>
      </c>
      <c r="P186" s="131">
        <v>134</v>
      </c>
      <c r="Q186" s="131">
        <f t="shared" si="5"/>
        <v>3446.4</v>
      </c>
    </row>
    <row r="187" spans="1:17" x14ac:dyDescent="0.35">
      <c r="A187" s="129" t="s">
        <v>34</v>
      </c>
      <c r="B187" s="129">
        <v>2018</v>
      </c>
      <c r="C187" s="129" t="s">
        <v>35</v>
      </c>
      <c r="D187" s="129" t="str">
        <f t="shared" si="4"/>
        <v>February-2018</v>
      </c>
      <c r="E187" s="129" t="s">
        <v>32</v>
      </c>
      <c r="F187" s="130">
        <v>1760.3999999999996</v>
      </c>
      <c r="G187" s="130">
        <v>422</v>
      </c>
      <c r="H187" s="130">
        <v>276.5</v>
      </c>
      <c r="I187" s="130">
        <v>261.5</v>
      </c>
      <c r="J187" s="130">
        <v>136.69999999999999</v>
      </c>
      <c r="K187" s="130">
        <v>120.2</v>
      </c>
      <c r="L187" s="131">
        <v>129.9</v>
      </c>
      <c r="M187" s="131">
        <v>139</v>
      </c>
      <c r="N187" s="131">
        <v>154.9</v>
      </c>
      <c r="O187" s="131">
        <v>129.6</v>
      </c>
      <c r="P187" s="131">
        <v>136.4</v>
      </c>
      <c r="Q187" s="131">
        <f t="shared" si="5"/>
        <v>3530.6999999999994</v>
      </c>
    </row>
    <row r="188" spans="1:17" x14ac:dyDescent="0.35">
      <c r="A188" s="129" t="s">
        <v>30</v>
      </c>
      <c r="B188" s="129">
        <v>2018</v>
      </c>
      <c r="C188" s="129" t="s">
        <v>36</v>
      </c>
      <c r="D188" s="129" t="str">
        <f t="shared" si="4"/>
        <v>March-2018</v>
      </c>
      <c r="E188" s="129" t="s">
        <v>32</v>
      </c>
      <c r="F188" s="130">
        <v>1781.9999999999998</v>
      </c>
      <c r="G188" s="130">
        <v>440.5</v>
      </c>
      <c r="H188" s="130">
        <v>281.89999999999998</v>
      </c>
      <c r="I188" s="130">
        <v>266</v>
      </c>
      <c r="J188" s="130">
        <v>142.6</v>
      </c>
      <c r="K188" s="130">
        <v>124.6</v>
      </c>
      <c r="L188" s="131">
        <v>135.1</v>
      </c>
      <c r="M188" s="131">
        <v>142.69999999999999</v>
      </c>
      <c r="N188" s="131">
        <v>155.1</v>
      </c>
      <c r="O188" s="131">
        <v>133.30000000000001</v>
      </c>
      <c r="P188" s="131">
        <v>138.69999999999999</v>
      </c>
      <c r="Q188" s="131">
        <f t="shared" si="5"/>
        <v>3603.7999999999997</v>
      </c>
    </row>
    <row r="189" spans="1:17" x14ac:dyDescent="0.35">
      <c r="A189" s="129" t="s">
        <v>33</v>
      </c>
      <c r="B189" s="129">
        <v>2018</v>
      </c>
      <c r="C189" s="129" t="s">
        <v>36</v>
      </c>
      <c r="D189" s="129" t="str">
        <f t="shared" si="4"/>
        <v>March-2018</v>
      </c>
      <c r="E189" s="129" t="s">
        <v>32</v>
      </c>
      <c r="F189" s="130">
        <v>1715.5</v>
      </c>
      <c r="G189" s="130">
        <v>398.59999999999997</v>
      </c>
      <c r="H189" s="130">
        <v>272.8</v>
      </c>
      <c r="I189" s="130">
        <v>257.2</v>
      </c>
      <c r="J189" s="130">
        <v>126.4</v>
      </c>
      <c r="K189" s="130">
        <v>117.8</v>
      </c>
      <c r="L189" s="131">
        <v>126.8</v>
      </c>
      <c r="M189" s="131">
        <v>137.80000000000001</v>
      </c>
      <c r="N189" s="131">
        <v>159.69999999999999</v>
      </c>
      <c r="O189" s="131">
        <v>127.1</v>
      </c>
      <c r="P189" s="131">
        <v>134</v>
      </c>
      <c r="Q189" s="131">
        <f t="shared" si="5"/>
        <v>3439.7000000000003</v>
      </c>
    </row>
    <row r="190" spans="1:17" x14ac:dyDescent="0.35">
      <c r="A190" s="129" t="s">
        <v>34</v>
      </c>
      <c r="B190" s="129">
        <v>2018</v>
      </c>
      <c r="C190" s="129" t="s">
        <v>36</v>
      </c>
      <c r="D190" s="129" t="str">
        <f t="shared" si="4"/>
        <v>March-2018</v>
      </c>
      <c r="E190" s="129" t="s">
        <v>32</v>
      </c>
      <c r="F190" s="130">
        <v>1756</v>
      </c>
      <c r="G190" s="130">
        <v>423.6</v>
      </c>
      <c r="H190" s="130">
        <v>277.60000000000002</v>
      </c>
      <c r="I190" s="130">
        <v>262.5</v>
      </c>
      <c r="J190" s="130">
        <v>136.5</v>
      </c>
      <c r="K190" s="130">
        <v>121</v>
      </c>
      <c r="L190" s="131">
        <v>130.4</v>
      </c>
      <c r="M190" s="131">
        <v>139.80000000000001</v>
      </c>
      <c r="N190" s="131">
        <v>156.30000000000001</v>
      </c>
      <c r="O190" s="131">
        <v>130.30000000000001</v>
      </c>
      <c r="P190" s="131">
        <v>136.5</v>
      </c>
      <c r="Q190" s="131">
        <f t="shared" si="5"/>
        <v>3534.0000000000005</v>
      </c>
    </row>
    <row r="191" spans="1:17" x14ac:dyDescent="0.35">
      <c r="A191" s="129" t="s">
        <v>30</v>
      </c>
      <c r="B191" s="129">
        <v>2018</v>
      </c>
      <c r="C191" s="129" t="s">
        <v>37</v>
      </c>
      <c r="D191" s="129" t="str">
        <f t="shared" si="4"/>
        <v>April-2018</v>
      </c>
      <c r="E191" s="129" t="s">
        <v>32</v>
      </c>
      <c r="F191" s="130">
        <v>1780</v>
      </c>
      <c r="G191" s="130">
        <v>442.5</v>
      </c>
      <c r="H191" s="130">
        <v>283.8</v>
      </c>
      <c r="I191" s="130">
        <v>268</v>
      </c>
      <c r="J191" s="130">
        <v>143.80000000000001</v>
      </c>
      <c r="K191" s="130">
        <v>125.3</v>
      </c>
      <c r="L191" s="131">
        <v>136</v>
      </c>
      <c r="M191" s="131">
        <v>143.69999999999999</v>
      </c>
      <c r="N191" s="131">
        <v>156.1</v>
      </c>
      <c r="O191" s="131">
        <v>134.19999999999999</v>
      </c>
      <c r="P191" s="131">
        <v>139.1</v>
      </c>
      <c r="Q191" s="131">
        <f t="shared" si="5"/>
        <v>3613.4</v>
      </c>
    </row>
    <row r="192" spans="1:17" x14ac:dyDescent="0.35">
      <c r="A192" s="129" t="s">
        <v>33</v>
      </c>
      <c r="B192" s="129">
        <v>2018</v>
      </c>
      <c r="C192" s="129" t="s">
        <v>37</v>
      </c>
      <c r="D192" s="129" t="str">
        <f t="shared" si="4"/>
        <v>April-2018</v>
      </c>
      <c r="E192" s="129" t="s">
        <v>32</v>
      </c>
      <c r="F192" s="130">
        <v>1720.0000000000002</v>
      </c>
      <c r="G192" s="130">
        <v>401.40000000000003</v>
      </c>
      <c r="H192" s="130">
        <v>274.70000000000005</v>
      </c>
      <c r="I192" s="130">
        <v>258.89999999999998</v>
      </c>
      <c r="J192" s="130">
        <v>124.6</v>
      </c>
      <c r="K192" s="130">
        <v>118.9</v>
      </c>
      <c r="L192" s="131">
        <v>127.6</v>
      </c>
      <c r="M192" s="131">
        <v>139.69999999999999</v>
      </c>
      <c r="N192" s="131">
        <v>159.19999999999999</v>
      </c>
      <c r="O192" s="131">
        <v>128.19999999999999</v>
      </c>
      <c r="P192" s="131">
        <v>134.80000000000001</v>
      </c>
      <c r="Q192" s="131">
        <f t="shared" si="5"/>
        <v>3453.2</v>
      </c>
    </row>
    <row r="193" spans="1:17" x14ac:dyDescent="0.35">
      <c r="A193" s="129" t="s">
        <v>34</v>
      </c>
      <c r="B193" s="129">
        <v>2018</v>
      </c>
      <c r="C193" s="129" t="s">
        <v>37</v>
      </c>
      <c r="D193" s="129" t="str">
        <f t="shared" si="4"/>
        <v>April-2018</v>
      </c>
      <c r="E193" s="129" t="s">
        <v>32</v>
      </c>
      <c r="F193" s="130">
        <v>1757.1000000000001</v>
      </c>
      <c r="G193" s="130">
        <v>426</v>
      </c>
      <c r="H193" s="130">
        <v>279.5</v>
      </c>
      <c r="I193" s="130">
        <v>264.39999999999998</v>
      </c>
      <c r="J193" s="130">
        <v>136.5</v>
      </c>
      <c r="K193" s="130">
        <v>121.9</v>
      </c>
      <c r="L193" s="131">
        <v>131.30000000000001</v>
      </c>
      <c r="M193" s="131">
        <v>141.4</v>
      </c>
      <c r="N193" s="131">
        <v>156.9</v>
      </c>
      <c r="O193" s="131">
        <v>131.30000000000001</v>
      </c>
      <c r="P193" s="131">
        <v>137.1</v>
      </c>
      <c r="Q193" s="131">
        <f t="shared" si="5"/>
        <v>3546.3000000000011</v>
      </c>
    </row>
    <row r="194" spans="1:17" x14ac:dyDescent="0.35">
      <c r="A194" s="129" t="s">
        <v>30</v>
      </c>
      <c r="B194" s="129">
        <v>2018</v>
      </c>
      <c r="C194" s="129" t="s">
        <v>38</v>
      </c>
      <c r="D194" s="129" t="str">
        <f t="shared" ref="D194:D257" si="6">CONCATENATE(C194,"-",B194)</f>
        <v>May-2018</v>
      </c>
      <c r="E194" s="129" t="s">
        <v>32</v>
      </c>
      <c r="F194" s="130">
        <v>1782.4</v>
      </c>
      <c r="G194" s="130">
        <v>444.7</v>
      </c>
      <c r="H194" s="130">
        <v>285</v>
      </c>
      <c r="I194" s="130">
        <v>269.60000000000002</v>
      </c>
      <c r="J194" s="130">
        <v>144.30000000000001</v>
      </c>
      <c r="K194" s="130">
        <v>126.4</v>
      </c>
      <c r="L194" s="131">
        <v>136.80000000000001</v>
      </c>
      <c r="M194" s="131">
        <v>144.4</v>
      </c>
      <c r="N194" s="131">
        <v>157</v>
      </c>
      <c r="O194" s="131">
        <v>135.1</v>
      </c>
      <c r="P194" s="131">
        <v>139.80000000000001</v>
      </c>
      <c r="Q194" s="131">
        <f t="shared" si="5"/>
        <v>3625.7000000000003</v>
      </c>
    </row>
    <row r="195" spans="1:17" x14ac:dyDescent="0.35">
      <c r="A195" s="129" t="s">
        <v>33</v>
      </c>
      <c r="B195" s="129">
        <v>2018</v>
      </c>
      <c r="C195" s="129" t="s">
        <v>38</v>
      </c>
      <c r="D195" s="129" t="str">
        <f t="shared" si="6"/>
        <v>May-2018</v>
      </c>
      <c r="E195" s="129" t="s">
        <v>32</v>
      </c>
      <c r="F195" s="130">
        <v>1722.8999999999999</v>
      </c>
      <c r="G195" s="130">
        <v>403.5</v>
      </c>
      <c r="H195" s="130">
        <v>275.7</v>
      </c>
      <c r="I195" s="130">
        <v>260.10000000000002</v>
      </c>
      <c r="J195" s="130">
        <v>124.7</v>
      </c>
      <c r="K195" s="130">
        <v>119.8</v>
      </c>
      <c r="L195" s="131">
        <v>128</v>
      </c>
      <c r="M195" s="131">
        <v>140.4</v>
      </c>
      <c r="N195" s="131">
        <v>160.30000000000001</v>
      </c>
      <c r="O195" s="131">
        <v>128.9</v>
      </c>
      <c r="P195" s="131">
        <v>135.4</v>
      </c>
      <c r="Q195" s="131">
        <f t="shared" ref="Q195:Q258" si="7">SUM(F195:O195)</f>
        <v>3464.2999999999997</v>
      </c>
    </row>
    <row r="196" spans="1:17" x14ac:dyDescent="0.35">
      <c r="A196" s="129" t="s">
        <v>34</v>
      </c>
      <c r="B196" s="129">
        <v>2018</v>
      </c>
      <c r="C196" s="129" t="s">
        <v>38</v>
      </c>
      <c r="D196" s="129" t="str">
        <f t="shared" si="6"/>
        <v>May-2018</v>
      </c>
      <c r="E196" s="129" t="s">
        <v>32</v>
      </c>
      <c r="F196" s="130">
        <v>1759.8</v>
      </c>
      <c r="G196" s="130">
        <v>428.09999999999997</v>
      </c>
      <c r="H196" s="130">
        <v>280.60000000000002</v>
      </c>
      <c r="I196" s="130">
        <v>265.89999999999998</v>
      </c>
      <c r="J196" s="130">
        <v>136.9</v>
      </c>
      <c r="K196" s="130">
        <v>122.9</v>
      </c>
      <c r="L196" s="131">
        <v>131.80000000000001</v>
      </c>
      <c r="M196" s="131">
        <v>142.1</v>
      </c>
      <c r="N196" s="131">
        <v>157.9</v>
      </c>
      <c r="O196" s="131">
        <v>132.1</v>
      </c>
      <c r="P196" s="131">
        <v>137.80000000000001</v>
      </c>
      <c r="Q196" s="131">
        <f t="shared" si="7"/>
        <v>3558.1000000000004</v>
      </c>
    </row>
    <row r="197" spans="1:17" x14ac:dyDescent="0.35">
      <c r="A197" s="129" t="s">
        <v>30</v>
      </c>
      <c r="B197" s="129">
        <v>2018</v>
      </c>
      <c r="C197" s="129" t="s">
        <v>39</v>
      </c>
      <c r="D197" s="129" t="str">
        <f t="shared" si="6"/>
        <v>June-2018</v>
      </c>
      <c r="E197" s="129" t="s">
        <v>32</v>
      </c>
      <c r="F197" s="130">
        <v>1790.2999999999997</v>
      </c>
      <c r="G197" s="130">
        <v>446.3</v>
      </c>
      <c r="H197" s="130">
        <v>284.7</v>
      </c>
      <c r="I197" s="130">
        <v>269.8</v>
      </c>
      <c r="J197" s="130">
        <v>145.1</v>
      </c>
      <c r="K197" s="130">
        <v>127.4</v>
      </c>
      <c r="L197" s="131">
        <v>137.80000000000001</v>
      </c>
      <c r="M197" s="131">
        <v>145.1</v>
      </c>
      <c r="N197" s="131">
        <v>157.30000000000001</v>
      </c>
      <c r="O197" s="131">
        <v>135.6</v>
      </c>
      <c r="P197" s="131">
        <v>140.5</v>
      </c>
      <c r="Q197" s="131">
        <f t="shared" si="7"/>
        <v>3639.4</v>
      </c>
    </row>
    <row r="198" spans="1:17" x14ac:dyDescent="0.35">
      <c r="A198" s="129" t="s">
        <v>33</v>
      </c>
      <c r="B198" s="129">
        <v>2018</v>
      </c>
      <c r="C198" s="129" t="s">
        <v>39</v>
      </c>
      <c r="D198" s="129" t="str">
        <f t="shared" si="6"/>
        <v>June-2018</v>
      </c>
      <c r="E198" s="129" t="s">
        <v>32</v>
      </c>
      <c r="F198" s="130">
        <v>1747.3000000000002</v>
      </c>
      <c r="G198" s="130">
        <v>405</v>
      </c>
      <c r="H198" s="130">
        <v>275.60000000000002</v>
      </c>
      <c r="I198" s="130">
        <v>260.79999999999995</v>
      </c>
      <c r="J198" s="130">
        <v>126.5</v>
      </c>
      <c r="K198" s="130">
        <v>120.4</v>
      </c>
      <c r="L198" s="131">
        <v>128.5</v>
      </c>
      <c r="M198" s="131">
        <v>141.19999999999999</v>
      </c>
      <c r="N198" s="131">
        <v>161</v>
      </c>
      <c r="O198" s="131">
        <v>129.5</v>
      </c>
      <c r="P198" s="131">
        <v>136.19999999999999</v>
      </c>
      <c r="Q198" s="131">
        <f t="shared" si="7"/>
        <v>3495.7999999999997</v>
      </c>
    </row>
    <row r="199" spans="1:17" x14ac:dyDescent="0.35">
      <c r="A199" s="129" t="s">
        <v>34</v>
      </c>
      <c r="B199" s="129">
        <v>2018</v>
      </c>
      <c r="C199" s="129" t="s">
        <v>39</v>
      </c>
      <c r="D199" s="129" t="str">
        <f t="shared" si="6"/>
        <v>June-2018</v>
      </c>
      <c r="E199" s="129" t="s">
        <v>32</v>
      </c>
      <c r="F199" s="130">
        <v>1774.1000000000001</v>
      </c>
      <c r="G199" s="130">
        <v>429.7</v>
      </c>
      <c r="H199" s="130">
        <v>280.39999999999998</v>
      </c>
      <c r="I199" s="130">
        <v>266.29999999999995</v>
      </c>
      <c r="J199" s="130">
        <v>138.1</v>
      </c>
      <c r="K199" s="130">
        <v>123.7</v>
      </c>
      <c r="L199" s="131">
        <v>132.6</v>
      </c>
      <c r="M199" s="131">
        <v>142.80000000000001</v>
      </c>
      <c r="N199" s="131">
        <v>158.30000000000001</v>
      </c>
      <c r="O199" s="131">
        <v>132.6</v>
      </c>
      <c r="P199" s="131">
        <v>138.5</v>
      </c>
      <c r="Q199" s="131">
        <f t="shared" si="7"/>
        <v>3578.6</v>
      </c>
    </row>
    <row r="200" spans="1:17" x14ac:dyDescent="0.35">
      <c r="A200" s="129" t="s">
        <v>30</v>
      </c>
      <c r="B200" s="129">
        <v>2018</v>
      </c>
      <c r="C200" s="129" t="s">
        <v>40</v>
      </c>
      <c r="D200" s="129" t="str">
        <f t="shared" si="6"/>
        <v>July-2018</v>
      </c>
      <c r="E200" s="129" t="s">
        <v>32</v>
      </c>
      <c r="F200" s="130">
        <v>1810.5000000000002</v>
      </c>
      <c r="G200" s="130">
        <v>447.20000000000005</v>
      </c>
      <c r="H200" s="130">
        <v>286.7</v>
      </c>
      <c r="I200" s="130">
        <v>270.39999999999998</v>
      </c>
      <c r="J200" s="130">
        <v>146.80000000000001</v>
      </c>
      <c r="K200" s="130">
        <v>127.5</v>
      </c>
      <c r="L200" s="131">
        <v>138.4</v>
      </c>
      <c r="M200" s="131">
        <v>145.80000000000001</v>
      </c>
      <c r="N200" s="131">
        <v>156.1</v>
      </c>
      <c r="O200" s="131">
        <v>136</v>
      </c>
      <c r="P200" s="131">
        <v>141.80000000000001</v>
      </c>
      <c r="Q200" s="131">
        <f t="shared" si="7"/>
        <v>3665.4000000000005</v>
      </c>
    </row>
    <row r="201" spans="1:17" x14ac:dyDescent="0.35">
      <c r="A201" s="129" t="s">
        <v>33</v>
      </c>
      <c r="B201" s="129">
        <v>2018</v>
      </c>
      <c r="C201" s="129" t="s">
        <v>40</v>
      </c>
      <c r="D201" s="129" t="str">
        <f t="shared" si="6"/>
        <v>July-2018</v>
      </c>
      <c r="E201" s="129" t="s">
        <v>32</v>
      </c>
      <c r="F201" s="130">
        <v>1771.1</v>
      </c>
      <c r="G201" s="130">
        <v>406.4</v>
      </c>
      <c r="H201" s="130">
        <v>277.2</v>
      </c>
      <c r="I201" s="130">
        <v>261.79999999999995</v>
      </c>
      <c r="J201" s="130">
        <v>128.1</v>
      </c>
      <c r="K201" s="130">
        <v>120.1</v>
      </c>
      <c r="L201" s="131">
        <v>129</v>
      </c>
      <c r="M201" s="131">
        <v>144</v>
      </c>
      <c r="N201" s="131">
        <v>161.4</v>
      </c>
      <c r="O201" s="131">
        <v>130.19999999999999</v>
      </c>
      <c r="P201" s="131">
        <v>137.5</v>
      </c>
      <c r="Q201" s="131">
        <f t="shared" si="7"/>
        <v>3529.2999999999997</v>
      </c>
    </row>
    <row r="202" spans="1:17" x14ac:dyDescent="0.35">
      <c r="A202" s="129" t="s">
        <v>34</v>
      </c>
      <c r="B202" s="129">
        <v>2018</v>
      </c>
      <c r="C202" s="129" t="s">
        <v>40</v>
      </c>
      <c r="D202" s="129" t="str">
        <f t="shared" si="6"/>
        <v>July-2018</v>
      </c>
      <c r="E202" s="129" t="s">
        <v>32</v>
      </c>
      <c r="F202" s="130">
        <v>1795.3</v>
      </c>
      <c r="G202" s="130">
        <v>430.80000000000007</v>
      </c>
      <c r="H202" s="130">
        <v>282.2</v>
      </c>
      <c r="I202" s="130">
        <v>267.10000000000002</v>
      </c>
      <c r="J202" s="130">
        <v>139.69999999999999</v>
      </c>
      <c r="K202" s="130">
        <v>123.6</v>
      </c>
      <c r="L202" s="131">
        <v>133.1</v>
      </c>
      <c r="M202" s="131">
        <v>144.69999999999999</v>
      </c>
      <c r="N202" s="131">
        <v>157.5</v>
      </c>
      <c r="O202" s="131">
        <v>133.19999999999999</v>
      </c>
      <c r="P202" s="131">
        <v>139.80000000000001</v>
      </c>
      <c r="Q202" s="131">
        <f t="shared" si="7"/>
        <v>3607.1999999999989</v>
      </c>
    </row>
    <row r="203" spans="1:17" x14ac:dyDescent="0.35">
      <c r="A203" s="129" t="s">
        <v>30</v>
      </c>
      <c r="B203" s="129">
        <v>2018</v>
      </c>
      <c r="C203" s="129" t="s">
        <v>41</v>
      </c>
      <c r="D203" s="129" t="str">
        <f t="shared" si="6"/>
        <v>August-2018</v>
      </c>
      <c r="E203" s="129" t="s">
        <v>32</v>
      </c>
      <c r="F203" s="130">
        <v>1818.8</v>
      </c>
      <c r="G203" s="130">
        <v>449.2</v>
      </c>
      <c r="H203" s="130">
        <v>288.39999999999998</v>
      </c>
      <c r="I203" s="130">
        <v>270.70000000000005</v>
      </c>
      <c r="J203" s="130">
        <v>147.69999999999999</v>
      </c>
      <c r="K203" s="130">
        <v>128.30000000000001</v>
      </c>
      <c r="L203" s="131">
        <v>138.6</v>
      </c>
      <c r="M203" s="131">
        <v>146.9</v>
      </c>
      <c r="N203" s="131">
        <v>156.4</v>
      </c>
      <c r="O203" s="131">
        <v>136.6</v>
      </c>
      <c r="P203" s="131">
        <v>142.5</v>
      </c>
      <c r="Q203" s="131">
        <f t="shared" si="7"/>
        <v>3681.6000000000004</v>
      </c>
    </row>
    <row r="204" spans="1:17" x14ac:dyDescent="0.35">
      <c r="A204" s="129" t="s">
        <v>33</v>
      </c>
      <c r="B204" s="129">
        <v>2018</v>
      </c>
      <c r="C204" s="129" t="s">
        <v>41</v>
      </c>
      <c r="D204" s="129" t="str">
        <f t="shared" si="6"/>
        <v>August-2018</v>
      </c>
      <c r="E204" s="129" t="s">
        <v>32</v>
      </c>
      <c r="F204" s="130">
        <v>1767.6</v>
      </c>
      <c r="G204" s="130">
        <v>407.3</v>
      </c>
      <c r="H204" s="130">
        <v>279</v>
      </c>
      <c r="I204" s="130">
        <v>263.20000000000005</v>
      </c>
      <c r="J204" s="130">
        <v>129.80000000000001</v>
      </c>
      <c r="K204" s="130">
        <v>120.7</v>
      </c>
      <c r="L204" s="131">
        <v>129.80000000000001</v>
      </c>
      <c r="M204" s="131">
        <v>145.30000000000001</v>
      </c>
      <c r="N204" s="131">
        <v>162.1</v>
      </c>
      <c r="O204" s="131">
        <v>131</v>
      </c>
      <c r="P204" s="131">
        <v>138</v>
      </c>
      <c r="Q204" s="131">
        <f t="shared" si="7"/>
        <v>3535.8000000000006</v>
      </c>
    </row>
    <row r="205" spans="1:17" x14ac:dyDescent="0.35">
      <c r="A205" s="129" t="s">
        <v>34</v>
      </c>
      <c r="B205" s="129">
        <v>2018</v>
      </c>
      <c r="C205" s="129" t="s">
        <v>41</v>
      </c>
      <c r="D205" s="129" t="str">
        <f t="shared" si="6"/>
        <v>August-2018</v>
      </c>
      <c r="E205" s="129" t="s">
        <v>32</v>
      </c>
      <c r="F205" s="130">
        <v>1798.7000000000003</v>
      </c>
      <c r="G205" s="130">
        <v>432.20000000000005</v>
      </c>
      <c r="H205" s="130">
        <v>284</v>
      </c>
      <c r="I205" s="130">
        <v>267.79999999999995</v>
      </c>
      <c r="J205" s="130">
        <v>140.9</v>
      </c>
      <c r="K205" s="130">
        <v>124.3</v>
      </c>
      <c r="L205" s="131">
        <v>133.6</v>
      </c>
      <c r="M205" s="131">
        <v>146</v>
      </c>
      <c r="N205" s="131">
        <v>157.9</v>
      </c>
      <c r="O205" s="131">
        <v>133.9</v>
      </c>
      <c r="P205" s="131">
        <v>140.4</v>
      </c>
      <c r="Q205" s="131">
        <f t="shared" si="7"/>
        <v>3619.3000000000011</v>
      </c>
    </row>
    <row r="206" spans="1:17" x14ac:dyDescent="0.35">
      <c r="A206" s="129" t="s">
        <v>30</v>
      </c>
      <c r="B206" s="129">
        <v>2018</v>
      </c>
      <c r="C206" s="129" t="s">
        <v>42</v>
      </c>
      <c r="D206" s="129" t="str">
        <f t="shared" si="6"/>
        <v>September-2018</v>
      </c>
      <c r="E206" s="129" t="s">
        <v>32</v>
      </c>
      <c r="F206" s="130">
        <v>1799.8000000000002</v>
      </c>
      <c r="G206" s="130">
        <v>449.5</v>
      </c>
      <c r="H206" s="130">
        <v>289.3</v>
      </c>
      <c r="I206" s="130">
        <v>272</v>
      </c>
      <c r="J206" s="130">
        <v>149</v>
      </c>
      <c r="K206" s="130">
        <v>129.9</v>
      </c>
      <c r="L206" s="131">
        <v>140</v>
      </c>
      <c r="M206" s="131">
        <v>147.6</v>
      </c>
      <c r="N206" s="131">
        <v>157.69999999999999</v>
      </c>
      <c r="O206" s="131">
        <v>137.4</v>
      </c>
      <c r="P206" s="131">
        <v>142.1</v>
      </c>
      <c r="Q206" s="131">
        <f t="shared" si="7"/>
        <v>3672.2000000000003</v>
      </c>
    </row>
    <row r="207" spans="1:17" x14ac:dyDescent="0.35">
      <c r="A207" s="129" t="s">
        <v>33</v>
      </c>
      <c r="B207" s="129">
        <v>2018</v>
      </c>
      <c r="C207" s="129" t="s">
        <v>42</v>
      </c>
      <c r="D207" s="129" t="str">
        <f t="shared" si="6"/>
        <v>September-2018</v>
      </c>
      <c r="E207" s="129" t="s">
        <v>32</v>
      </c>
      <c r="F207" s="130">
        <v>1748.4</v>
      </c>
      <c r="G207" s="130">
        <v>409.20000000000005</v>
      </c>
      <c r="H207" s="130">
        <v>280.20000000000005</v>
      </c>
      <c r="I207" s="130">
        <v>265</v>
      </c>
      <c r="J207" s="130">
        <v>131.19999999999999</v>
      </c>
      <c r="K207" s="130">
        <v>122.5</v>
      </c>
      <c r="L207" s="131">
        <v>130.19999999999999</v>
      </c>
      <c r="M207" s="131">
        <v>145.19999999999999</v>
      </c>
      <c r="N207" s="131">
        <v>163.30000000000001</v>
      </c>
      <c r="O207" s="131">
        <v>131.9</v>
      </c>
      <c r="P207" s="131">
        <v>138.1</v>
      </c>
      <c r="Q207" s="131">
        <f t="shared" si="7"/>
        <v>3527.1</v>
      </c>
    </row>
    <row r="208" spans="1:17" x14ac:dyDescent="0.35">
      <c r="A208" s="129" t="s">
        <v>34</v>
      </c>
      <c r="B208" s="129">
        <v>2018</v>
      </c>
      <c r="C208" s="129" t="s">
        <v>42</v>
      </c>
      <c r="D208" s="129" t="str">
        <f t="shared" si="6"/>
        <v>September-2018</v>
      </c>
      <c r="E208" s="129" t="s">
        <v>32</v>
      </c>
      <c r="F208" s="130">
        <v>1779.5</v>
      </c>
      <c r="G208" s="130">
        <v>433.29999999999995</v>
      </c>
      <c r="H208" s="130">
        <v>285</v>
      </c>
      <c r="I208" s="130">
        <v>269.3</v>
      </c>
      <c r="J208" s="130">
        <v>142.30000000000001</v>
      </c>
      <c r="K208" s="130">
        <v>126</v>
      </c>
      <c r="L208" s="131">
        <v>134.5</v>
      </c>
      <c r="M208" s="131">
        <v>146.19999999999999</v>
      </c>
      <c r="N208" s="131">
        <v>159.19999999999999</v>
      </c>
      <c r="O208" s="131">
        <v>134.69999999999999</v>
      </c>
      <c r="P208" s="131">
        <v>140.19999999999999</v>
      </c>
      <c r="Q208" s="131">
        <f t="shared" si="7"/>
        <v>3610</v>
      </c>
    </row>
    <row r="209" spans="1:17" x14ac:dyDescent="0.35">
      <c r="A209" s="129" t="s">
        <v>30</v>
      </c>
      <c r="B209" s="129">
        <v>2018</v>
      </c>
      <c r="C209" s="129" t="s">
        <v>43</v>
      </c>
      <c r="D209" s="129" t="str">
        <f t="shared" si="6"/>
        <v>October-2018</v>
      </c>
      <c r="E209" s="129" t="s">
        <v>32</v>
      </c>
      <c r="F209" s="130">
        <v>1782.2</v>
      </c>
      <c r="G209" s="130">
        <v>445</v>
      </c>
      <c r="H209" s="130">
        <v>293.8</v>
      </c>
      <c r="I209" s="130">
        <v>279.20000000000005</v>
      </c>
      <c r="J209" s="130">
        <v>149.69999999999999</v>
      </c>
      <c r="K209" s="130">
        <v>130.80000000000001</v>
      </c>
      <c r="L209" s="131">
        <v>140.1</v>
      </c>
      <c r="M209" s="131">
        <v>148</v>
      </c>
      <c r="N209" s="131">
        <v>159.6</v>
      </c>
      <c r="O209" s="131">
        <v>139.80000000000001</v>
      </c>
      <c r="P209" s="131">
        <v>142.19999999999999</v>
      </c>
      <c r="Q209" s="131">
        <f t="shared" si="7"/>
        <v>3668.2</v>
      </c>
    </row>
    <row r="210" spans="1:17" x14ac:dyDescent="0.35">
      <c r="A210" s="129" t="s">
        <v>33</v>
      </c>
      <c r="B210" s="129">
        <v>2018</v>
      </c>
      <c r="C210" s="129" t="s">
        <v>43</v>
      </c>
      <c r="D210" s="129" t="str">
        <f t="shared" si="6"/>
        <v>October-2018</v>
      </c>
      <c r="E210" s="129" t="s">
        <v>32</v>
      </c>
      <c r="F210" s="130">
        <v>1754.1</v>
      </c>
      <c r="G210" s="130">
        <v>411</v>
      </c>
      <c r="H210" s="130">
        <v>281.39999999999998</v>
      </c>
      <c r="I210" s="130">
        <v>266.60000000000002</v>
      </c>
      <c r="J210" s="130">
        <v>133.4</v>
      </c>
      <c r="K210" s="130">
        <v>123.3</v>
      </c>
      <c r="L210" s="131">
        <v>130.69999999999999</v>
      </c>
      <c r="M210" s="131">
        <v>145.5</v>
      </c>
      <c r="N210" s="131">
        <v>164</v>
      </c>
      <c r="O210" s="131">
        <v>132.5</v>
      </c>
      <c r="P210" s="131">
        <v>138.9</v>
      </c>
      <c r="Q210" s="131">
        <f t="shared" si="7"/>
        <v>3542.5</v>
      </c>
    </row>
    <row r="211" spans="1:17" x14ac:dyDescent="0.35">
      <c r="A211" s="129" t="s">
        <v>34</v>
      </c>
      <c r="B211" s="129">
        <v>2018</v>
      </c>
      <c r="C211" s="129" t="s">
        <v>43</v>
      </c>
      <c r="D211" s="129" t="str">
        <f t="shared" si="6"/>
        <v>October-2018</v>
      </c>
      <c r="E211" s="129" t="s">
        <v>32</v>
      </c>
      <c r="F211" s="130">
        <v>1776.2</v>
      </c>
      <c r="G211" s="130">
        <v>434</v>
      </c>
      <c r="H211" s="130">
        <v>289.10000000000002</v>
      </c>
      <c r="I211" s="130">
        <v>274.10000000000002</v>
      </c>
      <c r="J211" s="130">
        <v>145.30000000000001</v>
      </c>
      <c r="K211" s="130">
        <v>125.5</v>
      </c>
      <c r="L211" s="131">
        <v>136.5</v>
      </c>
      <c r="M211" s="131">
        <v>147.80000000000001</v>
      </c>
      <c r="N211" s="131">
        <v>162.6</v>
      </c>
      <c r="O211" s="131">
        <v>136.30000000000001</v>
      </c>
      <c r="P211" s="131">
        <v>140.80000000000001</v>
      </c>
      <c r="Q211" s="131">
        <f t="shared" si="7"/>
        <v>3627.4</v>
      </c>
    </row>
    <row r="212" spans="1:17" x14ac:dyDescent="0.35">
      <c r="A212" s="129" t="s">
        <v>30</v>
      </c>
      <c r="B212" s="129">
        <v>2018</v>
      </c>
      <c r="C212" s="129" t="s">
        <v>45</v>
      </c>
      <c r="D212" s="129" t="str">
        <f t="shared" si="6"/>
        <v>November-2018</v>
      </c>
      <c r="E212" s="129" t="s">
        <v>32</v>
      </c>
      <c r="F212" s="130">
        <v>1787.4999999999995</v>
      </c>
      <c r="G212" s="130">
        <v>448</v>
      </c>
      <c r="H212" s="130">
        <v>294.89999999999998</v>
      </c>
      <c r="I212" s="130">
        <v>278.5</v>
      </c>
      <c r="J212" s="130">
        <v>150.30000000000001</v>
      </c>
      <c r="K212" s="130">
        <v>130.30000000000001</v>
      </c>
      <c r="L212" s="131">
        <v>143.1</v>
      </c>
      <c r="M212" s="131">
        <v>150.19999999999999</v>
      </c>
      <c r="N212" s="131">
        <v>161.9</v>
      </c>
      <c r="O212" s="131">
        <v>140.1</v>
      </c>
      <c r="P212" s="131">
        <v>142.4</v>
      </c>
      <c r="Q212" s="131">
        <f t="shared" si="7"/>
        <v>3684.7999999999997</v>
      </c>
    </row>
    <row r="213" spans="1:17" x14ac:dyDescent="0.35">
      <c r="A213" s="129" t="s">
        <v>33</v>
      </c>
      <c r="B213" s="129">
        <v>2018</v>
      </c>
      <c r="C213" s="129" t="s">
        <v>45</v>
      </c>
      <c r="D213" s="129" t="str">
        <f t="shared" si="6"/>
        <v>November-2018</v>
      </c>
      <c r="E213" s="129" t="s">
        <v>32</v>
      </c>
      <c r="F213" s="130">
        <v>1757.4999999999998</v>
      </c>
      <c r="G213" s="130">
        <v>413.1</v>
      </c>
      <c r="H213" s="130">
        <v>282.70000000000005</v>
      </c>
      <c r="I213" s="130">
        <v>267.3</v>
      </c>
      <c r="J213" s="130">
        <v>136.69999999999999</v>
      </c>
      <c r="K213" s="130">
        <v>121.2</v>
      </c>
      <c r="L213" s="131">
        <v>131.30000000000001</v>
      </c>
      <c r="M213" s="131">
        <v>146.1</v>
      </c>
      <c r="N213" s="131">
        <v>164.4</v>
      </c>
      <c r="O213" s="131">
        <v>132.19999999999999</v>
      </c>
      <c r="P213" s="131">
        <v>139</v>
      </c>
      <c r="Q213" s="131">
        <f t="shared" si="7"/>
        <v>3552.5</v>
      </c>
    </row>
    <row r="214" spans="1:17" x14ac:dyDescent="0.35">
      <c r="A214" s="129" t="s">
        <v>34</v>
      </c>
      <c r="B214" s="129">
        <v>2018</v>
      </c>
      <c r="C214" s="129" t="s">
        <v>45</v>
      </c>
      <c r="D214" s="129" t="str">
        <f t="shared" si="6"/>
        <v>November-2018</v>
      </c>
      <c r="E214" s="129" t="s">
        <v>32</v>
      </c>
      <c r="F214" s="130">
        <v>1775.7000000000003</v>
      </c>
      <c r="G214" s="130">
        <v>433.8</v>
      </c>
      <c r="H214" s="130">
        <v>289.10000000000002</v>
      </c>
      <c r="I214" s="130">
        <v>274.10000000000002</v>
      </c>
      <c r="J214" s="130">
        <v>145.1</v>
      </c>
      <c r="K214" s="130">
        <v>125.5</v>
      </c>
      <c r="L214" s="131">
        <v>136.5</v>
      </c>
      <c r="M214" s="131">
        <v>147.80000000000001</v>
      </c>
      <c r="N214" s="131">
        <v>162.6</v>
      </c>
      <c r="O214" s="131">
        <v>136.30000000000001</v>
      </c>
      <c r="P214" s="131">
        <v>140.80000000000001</v>
      </c>
      <c r="Q214" s="131">
        <f t="shared" si="7"/>
        <v>3626.5000000000005</v>
      </c>
    </row>
    <row r="215" spans="1:17" x14ac:dyDescent="0.35">
      <c r="A215" s="129" t="s">
        <v>30</v>
      </c>
      <c r="B215" s="129">
        <v>2018</v>
      </c>
      <c r="C215" s="129" t="s">
        <v>46</v>
      </c>
      <c r="D215" s="129" t="str">
        <f t="shared" si="6"/>
        <v>December-2018</v>
      </c>
      <c r="E215" s="129" t="s">
        <v>32</v>
      </c>
      <c r="F215" s="130">
        <v>1773.1000000000001</v>
      </c>
      <c r="G215" s="130">
        <v>448.3</v>
      </c>
      <c r="H215" s="130">
        <v>296</v>
      </c>
      <c r="I215" s="130">
        <v>282.79999999999995</v>
      </c>
      <c r="J215" s="130">
        <v>149</v>
      </c>
      <c r="K215" s="130">
        <v>128.9</v>
      </c>
      <c r="L215" s="131">
        <v>143.30000000000001</v>
      </c>
      <c r="M215" s="131">
        <v>155.1</v>
      </c>
      <c r="N215" s="131">
        <v>162.4</v>
      </c>
      <c r="O215" s="131">
        <v>141.6</v>
      </c>
      <c r="P215" s="131">
        <v>141.9</v>
      </c>
      <c r="Q215" s="131">
        <f t="shared" si="7"/>
        <v>3680.5</v>
      </c>
    </row>
    <row r="216" spans="1:17" x14ac:dyDescent="0.35">
      <c r="A216" s="129" t="s">
        <v>33</v>
      </c>
      <c r="B216" s="129">
        <v>2018</v>
      </c>
      <c r="C216" s="129" t="s">
        <v>46</v>
      </c>
      <c r="D216" s="129" t="str">
        <f t="shared" si="6"/>
        <v>December-2018</v>
      </c>
      <c r="E216" s="129" t="s">
        <v>32</v>
      </c>
      <c r="F216" s="130">
        <v>1746.6</v>
      </c>
      <c r="G216" s="130">
        <v>413.8</v>
      </c>
      <c r="H216" s="130">
        <v>282.7</v>
      </c>
      <c r="I216" s="130">
        <v>268.10000000000002</v>
      </c>
      <c r="J216" s="130">
        <v>132.4</v>
      </c>
      <c r="K216" s="130">
        <v>118.8</v>
      </c>
      <c r="L216" s="131">
        <v>131.69999999999999</v>
      </c>
      <c r="M216" s="131">
        <v>146.5</v>
      </c>
      <c r="N216" s="131">
        <v>164.6</v>
      </c>
      <c r="O216" s="131">
        <v>131.69999999999999</v>
      </c>
      <c r="P216" s="131">
        <v>138</v>
      </c>
      <c r="Q216" s="131">
        <f t="shared" si="7"/>
        <v>3536.8999999999996</v>
      </c>
    </row>
    <row r="217" spans="1:17" x14ac:dyDescent="0.35">
      <c r="A217" s="129" t="s">
        <v>34</v>
      </c>
      <c r="B217" s="129">
        <v>2018</v>
      </c>
      <c r="C217" s="129" t="s">
        <v>46</v>
      </c>
      <c r="D217" s="129" t="str">
        <f t="shared" si="6"/>
        <v>December-2018</v>
      </c>
      <c r="E217" s="129" t="s">
        <v>32</v>
      </c>
      <c r="F217" s="130">
        <v>1762.7999999999997</v>
      </c>
      <c r="G217" s="130">
        <v>434.3</v>
      </c>
      <c r="H217" s="130">
        <v>289.7</v>
      </c>
      <c r="I217" s="130">
        <v>277.10000000000002</v>
      </c>
      <c r="J217" s="130">
        <v>142.69999999999999</v>
      </c>
      <c r="K217" s="130">
        <v>123.6</v>
      </c>
      <c r="L217" s="131">
        <v>136.80000000000001</v>
      </c>
      <c r="M217" s="131">
        <v>150.1</v>
      </c>
      <c r="N217" s="131">
        <v>163</v>
      </c>
      <c r="O217" s="131">
        <v>136.80000000000001</v>
      </c>
      <c r="P217" s="131">
        <v>140.1</v>
      </c>
      <c r="Q217" s="131">
        <f t="shared" si="7"/>
        <v>3616.8999999999996</v>
      </c>
    </row>
    <row r="218" spans="1:17" x14ac:dyDescent="0.35">
      <c r="A218" s="129" t="s">
        <v>30</v>
      </c>
      <c r="B218" s="129">
        <v>2019</v>
      </c>
      <c r="C218" s="129" t="s">
        <v>31</v>
      </c>
      <c r="D218" s="129" t="str">
        <f t="shared" si="6"/>
        <v>January-2019</v>
      </c>
      <c r="E218" s="129" t="s">
        <v>32</v>
      </c>
      <c r="F218" s="130">
        <v>1759.6000000000001</v>
      </c>
      <c r="G218" s="130">
        <v>445.6</v>
      </c>
      <c r="H218" s="130">
        <v>297.79999999999995</v>
      </c>
      <c r="I218" s="130">
        <v>283.10000000000002</v>
      </c>
      <c r="J218" s="130">
        <v>146.19999999999999</v>
      </c>
      <c r="K218" s="130">
        <v>128.6</v>
      </c>
      <c r="L218" s="131">
        <v>142.9</v>
      </c>
      <c r="M218" s="131">
        <v>155.19999999999999</v>
      </c>
      <c r="N218" s="131">
        <v>162.69999999999999</v>
      </c>
      <c r="O218" s="131">
        <v>141.69999999999999</v>
      </c>
      <c r="P218" s="131">
        <v>141</v>
      </c>
      <c r="Q218" s="131">
        <f t="shared" si="7"/>
        <v>3663.3999999999992</v>
      </c>
    </row>
    <row r="219" spans="1:17" x14ac:dyDescent="0.35">
      <c r="A219" s="129" t="s">
        <v>33</v>
      </c>
      <c r="B219" s="129">
        <v>2019</v>
      </c>
      <c r="C219" s="129" t="s">
        <v>31</v>
      </c>
      <c r="D219" s="129" t="str">
        <f t="shared" si="6"/>
        <v>January-2019</v>
      </c>
      <c r="E219" s="129" t="s">
        <v>32</v>
      </c>
      <c r="F219" s="130">
        <v>1744.3000000000002</v>
      </c>
      <c r="G219" s="130">
        <v>414.5</v>
      </c>
      <c r="H219" s="130">
        <v>284</v>
      </c>
      <c r="I219" s="130">
        <v>269.5</v>
      </c>
      <c r="J219" s="130">
        <v>128.6</v>
      </c>
      <c r="K219" s="130">
        <v>118.6</v>
      </c>
      <c r="L219" s="131">
        <v>131.9</v>
      </c>
      <c r="M219" s="131">
        <v>146.6</v>
      </c>
      <c r="N219" s="131">
        <v>164.7</v>
      </c>
      <c r="O219" s="131">
        <v>131.80000000000001</v>
      </c>
      <c r="P219" s="131">
        <v>138</v>
      </c>
      <c r="Q219" s="131">
        <f t="shared" si="7"/>
        <v>3534.5</v>
      </c>
    </row>
    <row r="220" spans="1:17" x14ac:dyDescent="0.35">
      <c r="A220" s="129" t="s">
        <v>34</v>
      </c>
      <c r="B220" s="129">
        <v>2019</v>
      </c>
      <c r="C220" s="129" t="s">
        <v>31</v>
      </c>
      <c r="D220" s="129" t="str">
        <f t="shared" si="6"/>
        <v>January-2019</v>
      </c>
      <c r="E220" s="129" t="s">
        <v>32</v>
      </c>
      <c r="F220" s="130">
        <v>1753.3999999999999</v>
      </c>
      <c r="G220" s="130">
        <v>433</v>
      </c>
      <c r="H220" s="130">
        <v>291.29999999999995</v>
      </c>
      <c r="I220" s="130">
        <v>277.89999999999998</v>
      </c>
      <c r="J220" s="130">
        <v>139.5</v>
      </c>
      <c r="K220" s="130">
        <v>123.3</v>
      </c>
      <c r="L220" s="131">
        <v>136.69999999999999</v>
      </c>
      <c r="M220" s="131">
        <v>150.19999999999999</v>
      </c>
      <c r="N220" s="131">
        <v>163.19999999999999</v>
      </c>
      <c r="O220" s="131">
        <v>136.9</v>
      </c>
      <c r="P220" s="131">
        <v>139.6</v>
      </c>
      <c r="Q220" s="131">
        <f t="shared" si="7"/>
        <v>3605.3999999999996</v>
      </c>
    </row>
    <row r="221" spans="1:17" x14ac:dyDescent="0.35">
      <c r="A221" s="129" t="s">
        <v>30</v>
      </c>
      <c r="B221" s="129">
        <v>2019</v>
      </c>
      <c r="C221" s="129" t="s">
        <v>35</v>
      </c>
      <c r="D221" s="129" t="str">
        <f t="shared" si="6"/>
        <v>February-2019</v>
      </c>
      <c r="E221" s="129" t="s">
        <v>32</v>
      </c>
      <c r="F221" s="130">
        <v>1759.8000000000002</v>
      </c>
      <c r="G221" s="130">
        <v>446.5</v>
      </c>
      <c r="H221" s="130">
        <v>298.60000000000002</v>
      </c>
      <c r="I221" s="130">
        <v>284.8</v>
      </c>
      <c r="J221" s="130">
        <v>145.30000000000001</v>
      </c>
      <c r="K221" s="130">
        <v>129.19999999999999</v>
      </c>
      <c r="L221" s="131">
        <v>143.4</v>
      </c>
      <c r="M221" s="131">
        <v>155.5</v>
      </c>
      <c r="N221" s="131">
        <v>162.80000000000001</v>
      </c>
      <c r="O221" s="131">
        <v>142.19999999999999</v>
      </c>
      <c r="P221" s="131">
        <v>141</v>
      </c>
      <c r="Q221" s="131">
        <f t="shared" si="7"/>
        <v>3668.1000000000004</v>
      </c>
    </row>
    <row r="222" spans="1:17" x14ac:dyDescent="0.35">
      <c r="A222" s="129" t="s">
        <v>33</v>
      </c>
      <c r="B222" s="129">
        <v>2019</v>
      </c>
      <c r="C222" s="129" t="s">
        <v>35</v>
      </c>
      <c r="D222" s="129" t="str">
        <f t="shared" si="6"/>
        <v>February-2019</v>
      </c>
      <c r="E222" s="129" t="s">
        <v>32</v>
      </c>
      <c r="F222" s="130">
        <v>1754.4</v>
      </c>
      <c r="G222" s="130">
        <v>415.5</v>
      </c>
      <c r="H222" s="130">
        <v>285.10000000000002</v>
      </c>
      <c r="I222" s="130">
        <v>271.5</v>
      </c>
      <c r="J222" s="130">
        <v>127.1</v>
      </c>
      <c r="K222" s="130">
        <v>119.2</v>
      </c>
      <c r="L222" s="131">
        <v>132.19999999999999</v>
      </c>
      <c r="M222" s="131">
        <v>146.6</v>
      </c>
      <c r="N222" s="131">
        <v>164.9</v>
      </c>
      <c r="O222" s="131">
        <v>132.4</v>
      </c>
      <c r="P222" s="131">
        <v>138.6</v>
      </c>
      <c r="Q222" s="131">
        <f t="shared" si="7"/>
        <v>3548.8999999999996</v>
      </c>
    </row>
    <row r="223" spans="1:17" x14ac:dyDescent="0.35">
      <c r="A223" s="129" t="s">
        <v>34</v>
      </c>
      <c r="B223" s="129">
        <v>2019</v>
      </c>
      <c r="C223" s="129" t="s">
        <v>35</v>
      </c>
      <c r="D223" s="129" t="str">
        <f t="shared" si="6"/>
        <v>February-2019</v>
      </c>
      <c r="E223" s="129" t="s">
        <v>32</v>
      </c>
      <c r="F223" s="130">
        <v>1757.1</v>
      </c>
      <c r="G223" s="130">
        <v>433.9</v>
      </c>
      <c r="H223" s="130">
        <v>292.2</v>
      </c>
      <c r="I223" s="130">
        <v>279.7</v>
      </c>
      <c r="J223" s="130">
        <v>138.4</v>
      </c>
      <c r="K223" s="130">
        <v>123.9</v>
      </c>
      <c r="L223" s="131">
        <v>137.1</v>
      </c>
      <c r="M223" s="131">
        <v>150.30000000000001</v>
      </c>
      <c r="N223" s="131">
        <v>163.4</v>
      </c>
      <c r="O223" s="131">
        <v>137.4</v>
      </c>
      <c r="P223" s="131">
        <v>139.9</v>
      </c>
      <c r="Q223" s="131">
        <f t="shared" si="7"/>
        <v>3613.4</v>
      </c>
    </row>
    <row r="224" spans="1:17" x14ac:dyDescent="0.35">
      <c r="A224" s="129" t="s">
        <v>30</v>
      </c>
      <c r="B224" s="129">
        <v>2019</v>
      </c>
      <c r="C224" s="129" t="s">
        <v>36</v>
      </c>
      <c r="D224" s="129" t="str">
        <f t="shared" si="6"/>
        <v>March-2019</v>
      </c>
      <c r="E224" s="129" t="s">
        <v>32</v>
      </c>
      <c r="F224" s="130">
        <v>1761.2000000000003</v>
      </c>
      <c r="G224" s="130">
        <v>447</v>
      </c>
      <c r="H224" s="130">
        <v>299</v>
      </c>
      <c r="I224" s="130">
        <v>284.39999999999998</v>
      </c>
      <c r="J224" s="130">
        <v>146.4</v>
      </c>
      <c r="K224" s="130">
        <v>129.9</v>
      </c>
      <c r="L224" s="131">
        <v>143.80000000000001</v>
      </c>
      <c r="M224" s="131">
        <v>155.5</v>
      </c>
      <c r="N224" s="131">
        <v>162.9</v>
      </c>
      <c r="O224" s="131">
        <v>142.4</v>
      </c>
      <c r="P224" s="131">
        <v>141.19999999999999</v>
      </c>
      <c r="Q224" s="131">
        <f t="shared" si="7"/>
        <v>3672.5000000000009</v>
      </c>
    </row>
    <row r="225" spans="1:17" x14ac:dyDescent="0.35">
      <c r="A225" s="129" t="s">
        <v>33</v>
      </c>
      <c r="B225" s="129">
        <v>2019</v>
      </c>
      <c r="C225" s="129" t="s">
        <v>36</v>
      </c>
      <c r="D225" s="129" t="str">
        <f t="shared" si="6"/>
        <v>March-2019</v>
      </c>
      <c r="E225" s="129" t="s">
        <v>32</v>
      </c>
      <c r="F225" s="130">
        <v>1768.4</v>
      </c>
      <c r="G225" s="130">
        <v>416.29999999999995</v>
      </c>
      <c r="H225" s="130">
        <v>285.8</v>
      </c>
      <c r="I225" s="130">
        <v>271.7</v>
      </c>
      <c r="J225" s="130">
        <v>128.80000000000001</v>
      </c>
      <c r="K225" s="130">
        <v>119.9</v>
      </c>
      <c r="L225" s="131">
        <v>133</v>
      </c>
      <c r="M225" s="131">
        <v>146.69999999999999</v>
      </c>
      <c r="N225" s="131">
        <v>165.3</v>
      </c>
      <c r="O225" s="131">
        <v>132.80000000000001</v>
      </c>
      <c r="P225" s="131">
        <v>139.5</v>
      </c>
      <c r="Q225" s="131">
        <f t="shared" si="7"/>
        <v>3568.7000000000003</v>
      </c>
    </row>
    <row r="226" spans="1:17" x14ac:dyDescent="0.35">
      <c r="A226" s="129" t="s">
        <v>34</v>
      </c>
      <c r="B226" s="129">
        <v>2019</v>
      </c>
      <c r="C226" s="129" t="s">
        <v>36</v>
      </c>
      <c r="D226" s="129" t="str">
        <f t="shared" si="6"/>
        <v>March-2019</v>
      </c>
      <c r="E226" s="129" t="s">
        <v>32</v>
      </c>
      <c r="F226" s="130">
        <v>1762.9</v>
      </c>
      <c r="G226" s="130">
        <v>434.5</v>
      </c>
      <c r="H226" s="130">
        <v>292.8</v>
      </c>
      <c r="I226" s="130">
        <v>279.60000000000002</v>
      </c>
      <c r="J226" s="130">
        <v>139.69999999999999</v>
      </c>
      <c r="K226" s="130">
        <v>124.6</v>
      </c>
      <c r="L226" s="131">
        <v>137.69999999999999</v>
      </c>
      <c r="M226" s="131">
        <v>150.30000000000001</v>
      </c>
      <c r="N226" s="131">
        <v>163.5</v>
      </c>
      <c r="O226" s="131">
        <v>137.69999999999999</v>
      </c>
      <c r="P226" s="131">
        <v>140.4</v>
      </c>
      <c r="Q226" s="131">
        <f t="shared" si="7"/>
        <v>3623.2999999999997</v>
      </c>
    </row>
    <row r="227" spans="1:17" x14ac:dyDescent="0.35">
      <c r="A227" s="129" t="s">
        <v>30</v>
      </c>
      <c r="B227" s="129">
        <v>2019</v>
      </c>
      <c r="C227" s="129" t="s">
        <v>41</v>
      </c>
      <c r="D227" s="129" t="str">
        <f t="shared" si="6"/>
        <v>August-2019</v>
      </c>
      <c r="E227" s="129" t="s">
        <v>89</v>
      </c>
      <c r="F227" s="130">
        <v>1834.5000000000002</v>
      </c>
      <c r="G227" s="130">
        <v>449.5</v>
      </c>
      <c r="H227" s="130">
        <v>301.79999999999995</v>
      </c>
      <c r="I227" s="130">
        <v>291.5</v>
      </c>
      <c r="J227" s="130">
        <v>146.4</v>
      </c>
      <c r="K227" s="130">
        <v>131.4</v>
      </c>
      <c r="L227" s="131">
        <v>148</v>
      </c>
      <c r="M227" s="131">
        <v>159.69999999999999</v>
      </c>
      <c r="N227" s="131">
        <v>165.1</v>
      </c>
      <c r="O227" s="131">
        <v>144.9</v>
      </c>
      <c r="P227" s="131">
        <v>145.69999999999999</v>
      </c>
      <c r="Q227" s="131">
        <f t="shared" ref="Q227:Q250" si="8">SUM(F227:O227)</f>
        <v>3772.8</v>
      </c>
    </row>
    <row r="228" spans="1:17" x14ac:dyDescent="0.35">
      <c r="A228" s="129" t="s">
        <v>33</v>
      </c>
      <c r="B228" s="129">
        <v>2019</v>
      </c>
      <c r="C228" s="129" t="s">
        <v>41</v>
      </c>
      <c r="D228" s="129" t="str">
        <f t="shared" si="6"/>
        <v>August-2019</v>
      </c>
      <c r="E228" s="129" t="s">
        <v>89</v>
      </c>
      <c r="F228" s="130">
        <v>1869.1</v>
      </c>
      <c r="G228" s="130">
        <v>420.2</v>
      </c>
      <c r="H228" s="130">
        <v>289.7</v>
      </c>
      <c r="I228" s="130">
        <v>279.3</v>
      </c>
      <c r="J228" s="130">
        <v>125.5</v>
      </c>
      <c r="K228" s="130">
        <v>120.8</v>
      </c>
      <c r="L228" s="131">
        <v>135.4</v>
      </c>
      <c r="M228" s="131">
        <v>151.5</v>
      </c>
      <c r="N228" s="131">
        <v>167.9</v>
      </c>
      <c r="O228" s="131">
        <v>135.30000000000001</v>
      </c>
      <c r="P228" s="131">
        <v>144.19999999999999</v>
      </c>
      <c r="Q228" s="131">
        <f t="shared" si="8"/>
        <v>3694.7000000000003</v>
      </c>
    </row>
    <row r="229" spans="1:17" x14ac:dyDescent="0.35">
      <c r="A229" s="129" t="s">
        <v>34</v>
      </c>
      <c r="B229" s="129">
        <v>2019</v>
      </c>
      <c r="C229" s="129" t="s">
        <v>41</v>
      </c>
      <c r="D229" s="129" t="str">
        <f t="shared" si="6"/>
        <v>August-2019</v>
      </c>
      <c r="E229" s="129" t="s">
        <v>89</v>
      </c>
      <c r="F229" s="130">
        <v>1846.5</v>
      </c>
      <c r="G229" s="130">
        <v>437.6</v>
      </c>
      <c r="H229" s="130">
        <v>296.10000000000002</v>
      </c>
      <c r="I229" s="130">
        <v>286.89999999999998</v>
      </c>
      <c r="J229" s="130">
        <v>138.5</v>
      </c>
      <c r="K229" s="130">
        <v>125.8</v>
      </c>
      <c r="L229" s="131">
        <v>140.9</v>
      </c>
      <c r="M229" s="131">
        <v>154.9</v>
      </c>
      <c r="N229" s="131">
        <v>165.8</v>
      </c>
      <c r="O229" s="131">
        <v>140.19999999999999</v>
      </c>
      <c r="P229" s="131">
        <v>145</v>
      </c>
      <c r="Q229" s="131">
        <f t="shared" si="8"/>
        <v>3733.2000000000003</v>
      </c>
    </row>
    <row r="230" spans="1:17" x14ac:dyDescent="0.35">
      <c r="A230" s="129" t="s">
        <v>30</v>
      </c>
      <c r="B230" s="129">
        <v>2019</v>
      </c>
      <c r="C230" s="129" t="s">
        <v>46</v>
      </c>
      <c r="D230" s="129" t="str">
        <f t="shared" si="6"/>
        <v>December-2019</v>
      </c>
      <c r="E230" s="129" t="s">
        <v>89</v>
      </c>
      <c r="F230" s="130">
        <v>1940.9999999999995</v>
      </c>
      <c r="G230" s="130">
        <v>451.79999999999995</v>
      </c>
      <c r="H230" s="130">
        <v>304</v>
      </c>
      <c r="I230" s="130">
        <v>295.39999999999998</v>
      </c>
      <c r="J230" s="130">
        <v>149.9</v>
      </c>
      <c r="K230" s="130">
        <v>135</v>
      </c>
      <c r="L230" s="131">
        <v>149.5</v>
      </c>
      <c r="M230" s="131">
        <v>161.1</v>
      </c>
      <c r="N230" s="131">
        <v>167.8</v>
      </c>
      <c r="O230" s="131">
        <v>147.1</v>
      </c>
      <c r="P230" s="131">
        <v>152.30000000000001</v>
      </c>
      <c r="Q230" s="131">
        <f t="shared" si="8"/>
        <v>3902.5999999999995</v>
      </c>
    </row>
    <row r="231" spans="1:17" x14ac:dyDescent="0.35">
      <c r="A231" s="129" t="s">
        <v>33</v>
      </c>
      <c r="B231" s="129">
        <v>2019</v>
      </c>
      <c r="C231" s="129" t="s">
        <v>46</v>
      </c>
      <c r="D231" s="129" t="str">
        <f t="shared" si="6"/>
        <v>December-2019</v>
      </c>
      <c r="E231" s="129" t="s">
        <v>89</v>
      </c>
      <c r="F231" s="130">
        <v>1956.7</v>
      </c>
      <c r="G231" s="130">
        <v>424.20000000000005</v>
      </c>
      <c r="H231" s="130">
        <v>292.60000000000002</v>
      </c>
      <c r="I231" s="130">
        <v>283.39999999999998</v>
      </c>
      <c r="J231" s="130">
        <v>133.6</v>
      </c>
      <c r="K231" s="130">
        <v>125.2</v>
      </c>
      <c r="L231" s="131">
        <v>136.80000000000001</v>
      </c>
      <c r="M231" s="131">
        <v>151.9</v>
      </c>
      <c r="N231" s="131">
        <v>170.4</v>
      </c>
      <c r="O231" s="131">
        <v>137.69999999999999</v>
      </c>
      <c r="P231" s="131">
        <v>148.30000000000001</v>
      </c>
      <c r="Q231" s="131">
        <f t="shared" si="8"/>
        <v>3812.5</v>
      </c>
    </row>
    <row r="232" spans="1:17" x14ac:dyDescent="0.35">
      <c r="A232" s="129" t="s">
        <v>34</v>
      </c>
      <c r="B232" s="129">
        <v>2019</v>
      </c>
      <c r="C232" s="129" t="s">
        <v>46</v>
      </c>
      <c r="D232" s="129" t="str">
        <f t="shared" si="6"/>
        <v>December-2019</v>
      </c>
      <c r="E232" s="129" t="s">
        <v>89</v>
      </c>
      <c r="F232" s="130">
        <v>1946.1000000000001</v>
      </c>
      <c r="G232" s="130">
        <v>440.6</v>
      </c>
      <c r="H232" s="130">
        <v>298.60000000000002</v>
      </c>
      <c r="I232" s="130">
        <v>290.8</v>
      </c>
      <c r="J232" s="130">
        <v>143.69999999999999</v>
      </c>
      <c r="K232" s="130">
        <v>129.80000000000001</v>
      </c>
      <c r="L232" s="131">
        <v>142.30000000000001</v>
      </c>
      <c r="M232" s="131">
        <v>155.69999999999999</v>
      </c>
      <c r="N232" s="131">
        <v>168.5</v>
      </c>
      <c r="O232" s="131">
        <v>142.5</v>
      </c>
      <c r="P232" s="131">
        <v>150.4</v>
      </c>
      <c r="Q232" s="131">
        <f t="shared" si="8"/>
        <v>3858.6000000000004</v>
      </c>
    </row>
    <row r="233" spans="1:17" x14ac:dyDescent="0.35">
      <c r="A233" s="129" t="s">
        <v>30</v>
      </c>
      <c r="B233" s="129">
        <v>2019</v>
      </c>
      <c r="C233" s="129" t="s">
        <v>40</v>
      </c>
      <c r="D233" s="129" t="str">
        <f t="shared" si="6"/>
        <v>July-2019</v>
      </c>
      <c r="E233" s="129" t="s">
        <v>89</v>
      </c>
      <c r="F233" s="130">
        <v>1826.8999999999999</v>
      </c>
      <c r="G233" s="130">
        <v>449.1</v>
      </c>
      <c r="H233" s="130">
        <v>300.60000000000002</v>
      </c>
      <c r="I233" s="130">
        <v>288.29999999999995</v>
      </c>
      <c r="J233" s="130">
        <v>146.80000000000001</v>
      </c>
      <c r="K233" s="130">
        <v>131.19999999999999</v>
      </c>
      <c r="L233" s="131">
        <v>147.5</v>
      </c>
      <c r="M233" s="131">
        <v>159.1</v>
      </c>
      <c r="N233" s="131">
        <v>164.5</v>
      </c>
      <c r="O233" s="131">
        <v>144.19999999999999</v>
      </c>
      <c r="P233" s="131">
        <v>144.9</v>
      </c>
      <c r="Q233" s="131">
        <f t="shared" si="8"/>
        <v>3758.1999999999994</v>
      </c>
    </row>
    <row r="234" spans="1:17" x14ac:dyDescent="0.35">
      <c r="A234" s="129" t="s">
        <v>33</v>
      </c>
      <c r="B234" s="129">
        <v>2019</v>
      </c>
      <c r="C234" s="129" t="s">
        <v>40</v>
      </c>
      <c r="D234" s="129" t="str">
        <f t="shared" si="6"/>
        <v>July-2019</v>
      </c>
      <c r="E234" s="129" t="s">
        <v>89</v>
      </c>
      <c r="F234" s="130">
        <v>1857.3999999999999</v>
      </c>
      <c r="G234" s="130">
        <v>419.3</v>
      </c>
      <c r="H234" s="130">
        <v>288.29999999999995</v>
      </c>
      <c r="I234" s="130">
        <v>275.89999999999998</v>
      </c>
      <c r="J234" s="130">
        <v>127</v>
      </c>
      <c r="K234" s="130">
        <v>120.6</v>
      </c>
      <c r="L234" s="131">
        <v>135</v>
      </c>
      <c r="M234" s="131">
        <v>150.4</v>
      </c>
      <c r="N234" s="131">
        <v>167.2</v>
      </c>
      <c r="O234" s="131">
        <v>134.5</v>
      </c>
      <c r="P234" s="131">
        <v>143.30000000000001</v>
      </c>
      <c r="Q234" s="131">
        <f t="shared" si="8"/>
        <v>3675.6</v>
      </c>
    </row>
    <row r="235" spans="1:17" x14ac:dyDescent="0.35">
      <c r="A235" s="129" t="s">
        <v>34</v>
      </c>
      <c r="B235" s="129">
        <v>2019</v>
      </c>
      <c r="C235" s="129" t="s">
        <v>40</v>
      </c>
      <c r="D235" s="129" t="str">
        <f t="shared" si="6"/>
        <v>July-2019</v>
      </c>
      <c r="E235" s="129" t="s">
        <v>89</v>
      </c>
      <c r="F235" s="130">
        <v>1837.5</v>
      </c>
      <c r="G235" s="130">
        <v>437</v>
      </c>
      <c r="H235" s="130">
        <v>294.79999999999995</v>
      </c>
      <c r="I235" s="130">
        <v>283.60000000000002</v>
      </c>
      <c r="J235" s="130">
        <v>139.30000000000001</v>
      </c>
      <c r="K235" s="130">
        <v>125.6</v>
      </c>
      <c r="L235" s="131">
        <v>140.5</v>
      </c>
      <c r="M235" s="131">
        <v>154</v>
      </c>
      <c r="N235" s="131">
        <v>165.2</v>
      </c>
      <c r="O235" s="131">
        <v>139.5</v>
      </c>
      <c r="P235" s="131">
        <v>144.19999999999999</v>
      </c>
      <c r="Q235" s="131">
        <f t="shared" si="8"/>
        <v>3717</v>
      </c>
    </row>
    <row r="236" spans="1:17" x14ac:dyDescent="0.35">
      <c r="A236" s="129" t="s">
        <v>30</v>
      </c>
      <c r="B236" s="129">
        <v>2019</v>
      </c>
      <c r="C236" s="129" t="s">
        <v>39</v>
      </c>
      <c r="D236" s="129" t="str">
        <f t="shared" si="6"/>
        <v>June-2019</v>
      </c>
      <c r="E236" s="129" t="s">
        <v>89</v>
      </c>
      <c r="F236" s="130">
        <v>1804.1999999999998</v>
      </c>
      <c r="G236" s="130">
        <v>448.59999999999997</v>
      </c>
      <c r="H236" s="130">
        <v>299</v>
      </c>
      <c r="I236" s="130">
        <v>286.5</v>
      </c>
      <c r="J236" s="130">
        <v>147.80000000000001</v>
      </c>
      <c r="K236" s="130">
        <v>130.19999999999999</v>
      </c>
      <c r="L236" s="131">
        <v>146.4</v>
      </c>
      <c r="M236" s="131">
        <v>157.69999999999999</v>
      </c>
      <c r="N236" s="131">
        <v>164.2</v>
      </c>
      <c r="O236" s="131">
        <v>143.30000000000001</v>
      </c>
      <c r="P236" s="131">
        <v>143.6</v>
      </c>
      <c r="Q236" s="131">
        <f t="shared" si="8"/>
        <v>3727.8999999999996</v>
      </c>
    </row>
    <row r="237" spans="1:17" x14ac:dyDescent="0.35">
      <c r="A237" s="129" t="s">
        <v>33</v>
      </c>
      <c r="B237" s="129">
        <v>2019</v>
      </c>
      <c r="C237" s="129" t="s">
        <v>39</v>
      </c>
      <c r="D237" s="129" t="str">
        <f t="shared" si="6"/>
        <v>June-2019</v>
      </c>
      <c r="E237" s="129" t="s">
        <v>89</v>
      </c>
      <c r="F237" s="130">
        <v>1833.2999999999997</v>
      </c>
      <c r="G237" s="130">
        <v>418.4</v>
      </c>
      <c r="H237" s="130">
        <v>286.8</v>
      </c>
      <c r="I237" s="130">
        <v>274</v>
      </c>
      <c r="J237" s="130">
        <v>130.5</v>
      </c>
      <c r="K237" s="130">
        <v>119.6</v>
      </c>
      <c r="L237" s="131">
        <v>134.30000000000001</v>
      </c>
      <c r="M237" s="131">
        <v>148.9</v>
      </c>
      <c r="N237" s="131">
        <v>166.7</v>
      </c>
      <c r="O237" s="131">
        <v>133.6</v>
      </c>
      <c r="P237" s="131">
        <v>142.1</v>
      </c>
      <c r="Q237" s="131">
        <f t="shared" si="8"/>
        <v>3646.1</v>
      </c>
    </row>
    <row r="238" spans="1:17" x14ac:dyDescent="0.35">
      <c r="A238" s="129" t="s">
        <v>34</v>
      </c>
      <c r="B238" s="129">
        <v>2019</v>
      </c>
      <c r="C238" s="129" t="s">
        <v>39</v>
      </c>
      <c r="D238" s="129" t="str">
        <f t="shared" si="6"/>
        <v>June-2019</v>
      </c>
      <c r="E238" s="129" t="s">
        <v>89</v>
      </c>
      <c r="F238" s="130">
        <v>1814.1000000000001</v>
      </c>
      <c r="G238" s="130">
        <v>436.4</v>
      </c>
      <c r="H238" s="130">
        <v>293.20000000000005</v>
      </c>
      <c r="I238" s="130">
        <v>281.70000000000005</v>
      </c>
      <c r="J238" s="130">
        <v>141.19999999999999</v>
      </c>
      <c r="K238" s="130">
        <v>124.6</v>
      </c>
      <c r="L238" s="131">
        <v>139.6</v>
      </c>
      <c r="M238" s="131">
        <v>152.5</v>
      </c>
      <c r="N238" s="131">
        <v>164.9</v>
      </c>
      <c r="O238" s="131">
        <v>138.6</v>
      </c>
      <c r="P238" s="131">
        <v>142.9</v>
      </c>
      <c r="Q238" s="131">
        <f t="shared" si="8"/>
        <v>3686.7999999999993</v>
      </c>
    </row>
    <row r="239" spans="1:17" x14ac:dyDescent="0.35">
      <c r="A239" s="129" t="s">
        <v>30</v>
      </c>
      <c r="B239" s="129">
        <v>2019</v>
      </c>
      <c r="C239" s="129" t="s">
        <v>38</v>
      </c>
      <c r="D239" s="129" t="str">
        <f t="shared" si="6"/>
        <v>May-2019</v>
      </c>
      <c r="E239" s="129" t="s">
        <v>89</v>
      </c>
      <c r="F239" s="130">
        <v>1782.1000000000001</v>
      </c>
      <c r="G239" s="130">
        <v>448.59999999999997</v>
      </c>
      <c r="H239" s="130">
        <v>299.60000000000002</v>
      </c>
      <c r="I239" s="130">
        <v>285.20000000000005</v>
      </c>
      <c r="J239" s="130">
        <v>146.9</v>
      </c>
      <c r="K239" s="130">
        <v>130.19999999999999</v>
      </c>
      <c r="L239" s="131">
        <v>145.9</v>
      </c>
      <c r="M239" s="131">
        <v>156.69999999999999</v>
      </c>
      <c r="N239" s="131">
        <v>163.30000000000001</v>
      </c>
      <c r="O239" s="131">
        <v>142.9</v>
      </c>
      <c r="P239" s="131">
        <v>142.4</v>
      </c>
      <c r="Q239" s="131">
        <f t="shared" si="8"/>
        <v>3701.4</v>
      </c>
    </row>
    <row r="240" spans="1:17" x14ac:dyDescent="0.35">
      <c r="A240" s="129" t="s">
        <v>33</v>
      </c>
      <c r="B240" s="129">
        <v>2019</v>
      </c>
      <c r="C240" s="129" t="s">
        <v>38</v>
      </c>
      <c r="D240" s="129" t="str">
        <f t="shared" si="6"/>
        <v>May-2019</v>
      </c>
      <c r="E240" s="129" t="s">
        <v>89</v>
      </c>
      <c r="F240" s="130">
        <v>1811.5000000000002</v>
      </c>
      <c r="G240" s="130">
        <v>417.9</v>
      </c>
      <c r="H240" s="130">
        <v>287.29999999999995</v>
      </c>
      <c r="I240" s="130">
        <v>272.39999999999998</v>
      </c>
      <c r="J240" s="130">
        <v>129.4</v>
      </c>
      <c r="K240" s="130">
        <v>120.1</v>
      </c>
      <c r="L240" s="131">
        <v>134</v>
      </c>
      <c r="M240" s="131">
        <v>148</v>
      </c>
      <c r="N240" s="131">
        <v>166.2</v>
      </c>
      <c r="O240" s="131">
        <v>133.30000000000001</v>
      </c>
      <c r="P240" s="131">
        <v>141.5</v>
      </c>
      <c r="Q240" s="131">
        <f t="shared" si="8"/>
        <v>3620.1</v>
      </c>
    </row>
    <row r="241" spans="1:17" x14ac:dyDescent="0.35">
      <c r="A241" s="129" t="s">
        <v>34</v>
      </c>
      <c r="B241" s="129">
        <v>2019</v>
      </c>
      <c r="C241" s="129" t="s">
        <v>38</v>
      </c>
      <c r="D241" s="129" t="str">
        <f t="shared" si="6"/>
        <v>May-2019</v>
      </c>
      <c r="E241" s="129" t="s">
        <v>89</v>
      </c>
      <c r="F241" s="130">
        <v>1791.9000000000003</v>
      </c>
      <c r="G241" s="130">
        <v>436.1</v>
      </c>
      <c r="H241" s="130">
        <v>293.79999999999995</v>
      </c>
      <c r="I241" s="130">
        <v>280.3</v>
      </c>
      <c r="J241" s="130">
        <v>140.30000000000001</v>
      </c>
      <c r="K241" s="130">
        <v>124.9</v>
      </c>
      <c r="L241" s="131">
        <v>139.19999999999999</v>
      </c>
      <c r="M241" s="131">
        <v>151.6</v>
      </c>
      <c r="N241" s="131">
        <v>164.1</v>
      </c>
      <c r="O241" s="131">
        <v>138.19999999999999</v>
      </c>
      <c r="P241" s="131">
        <v>142</v>
      </c>
      <c r="Q241" s="131">
        <f t="shared" si="8"/>
        <v>3660.4</v>
      </c>
    </row>
    <row r="242" spans="1:17" x14ac:dyDescent="0.35">
      <c r="A242" s="129" t="s">
        <v>30</v>
      </c>
      <c r="B242" s="129">
        <v>2019</v>
      </c>
      <c r="C242" s="129" t="s">
        <v>45</v>
      </c>
      <c r="D242" s="129" t="str">
        <f t="shared" si="6"/>
        <v>November-2019</v>
      </c>
      <c r="E242" s="129" t="s">
        <v>89</v>
      </c>
      <c r="F242" s="130">
        <v>1904.6000000000001</v>
      </c>
      <c r="G242" s="130">
        <v>450.8</v>
      </c>
      <c r="H242" s="130">
        <v>304.39999999999998</v>
      </c>
      <c r="I242" s="130">
        <v>294.89999999999998</v>
      </c>
      <c r="J242" s="130">
        <v>148.4</v>
      </c>
      <c r="K242" s="130">
        <v>132.1</v>
      </c>
      <c r="L242" s="131">
        <v>149.1</v>
      </c>
      <c r="M242" s="131">
        <v>160.80000000000001</v>
      </c>
      <c r="N242" s="131">
        <v>167.2</v>
      </c>
      <c r="O242" s="131">
        <v>146.1</v>
      </c>
      <c r="P242" s="131">
        <v>149.9</v>
      </c>
      <c r="Q242" s="131">
        <f t="shared" si="8"/>
        <v>3858.4</v>
      </c>
    </row>
    <row r="243" spans="1:17" x14ac:dyDescent="0.35">
      <c r="A243" s="129" t="s">
        <v>33</v>
      </c>
      <c r="B243" s="129">
        <v>2019</v>
      </c>
      <c r="C243" s="129" t="s">
        <v>45</v>
      </c>
      <c r="D243" s="129" t="str">
        <f t="shared" si="6"/>
        <v>November-2019</v>
      </c>
      <c r="E243" s="129" t="s">
        <v>89</v>
      </c>
      <c r="F243" s="130">
        <v>1923.9999999999998</v>
      </c>
      <c r="G243" s="130">
        <v>423.09999999999997</v>
      </c>
      <c r="H243" s="130">
        <v>292.60000000000002</v>
      </c>
      <c r="I243" s="130">
        <v>282.60000000000002</v>
      </c>
      <c r="J243" s="130">
        <v>132.19999999999999</v>
      </c>
      <c r="K243" s="130">
        <v>121.7</v>
      </c>
      <c r="L243" s="131">
        <v>136.69999999999999</v>
      </c>
      <c r="M243" s="131">
        <v>151.80000000000001</v>
      </c>
      <c r="N243" s="131">
        <v>169.9</v>
      </c>
      <c r="O243" s="131">
        <v>136.30000000000001</v>
      </c>
      <c r="P243" s="131">
        <v>147</v>
      </c>
      <c r="Q243" s="131">
        <f t="shared" si="8"/>
        <v>3770.8999999999996</v>
      </c>
    </row>
    <row r="244" spans="1:17" x14ac:dyDescent="0.35">
      <c r="A244" s="129" t="s">
        <v>34</v>
      </c>
      <c r="B244" s="129">
        <v>2019</v>
      </c>
      <c r="C244" s="129" t="s">
        <v>45</v>
      </c>
      <c r="D244" s="129" t="str">
        <f t="shared" si="6"/>
        <v>November-2019</v>
      </c>
      <c r="E244" s="129" t="s">
        <v>89</v>
      </c>
      <c r="F244" s="130">
        <v>1910.9</v>
      </c>
      <c r="G244" s="130">
        <v>439.5</v>
      </c>
      <c r="H244" s="130">
        <v>298.8</v>
      </c>
      <c r="I244" s="130">
        <v>290.20000000000005</v>
      </c>
      <c r="J244" s="130">
        <v>142.30000000000001</v>
      </c>
      <c r="K244" s="130">
        <v>126.6</v>
      </c>
      <c r="L244" s="131">
        <v>142.1</v>
      </c>
      <c r="M244" s="131">
        <v>155.5</v>
      </c>
      <c r="N244" s="131">
        <v>167.9</v>
      </c>
      <c r="O244" s="131">
        <v>141.30000000000001</v>
      </c>
      <c r="P244" s="131">
        <v>148.6</v>
      </c>
      <c r="Q244" s="131">
        <f t="shared" si="8"/>
        <v>3815.1000000000008</v>
      </c>
    </row>
    <row r="245" spans="1:17" x14ac:dyDescent="0.35">
      <c r="A245" s="129" t="s">
        <v>30</v>
      </c>
      <c r="B245" s="129">
        <v>2019</v>
      </c>
      <c r="C245" s="129" t="s">
        <v>43</v>
      </c>
      <c r="D245" s="129" t="str">
        <f t="shared" si="6"/>
        <v>October-2019</v>
      </c>
      <c r="E245" s="129" t="s">
        <v>89</v>
      </c>
      <c r="F245" s="130">
        <v>1876.8999999999996</v>
      </c>
      <c r="G245" s="130">
        <v>449.4</v>
      </c>
      <c r="H245" s="130">
        <v>303.60000000000002</v>
      </c>
      <c r="I245" s="130">
        <v>294</v>
      </c>
      <c r="J245" s="130">
        <v>147.69999999999999</v>
      </c>
      <c r="K245" s="130">
        <v>131.69999999999999</v>
      </c>
      <c r="L245" s="131">
        <v>148.69999999999999</v>
      </c>
      <c r="M245" s="131">
        <v>160.69999999999999</v>
      </c>
      <c r="N245" s="131">
        <v>166.3</v>
      </c>
      <c r="O245" s="131">
        <v>145.69999999999999</v>
      </c>
      <c r="P245" s="131">
        <v>148.30000000000001</v>
      </c>
      <c r="Q245" s="131">
        <f t="shared" si="8"/>
        <v>3824.6999999999989</v>
      </c>
    </row>
    <row r="246" spans="1:17" x14ac:dyDescent="0.35">
      <c r="A246" s="129" t="s">
        <v>33</v>
      </c>
      <c r="B246" s="129">
        <v>2019</v>
      </c>
      <c r="C246" s="129" t="s">
        <v>43</v>
      </c>
      <c r="D246" s="129" t="str">
        <f t="shared" si="6"/>
        <v>October-2019</v>
      </c>
      <c r="E246" s="129" t="s">
        <v>89</v>
      </c>
      <c r="F246" s="130">
        <v>1902.6000000000001</v>
      </c>
      <c r="G246" s="130">
        <v>422.20000000000005</v>
      </c>
      <c r="H246" s="130">
        <v>291.7</v>
      </c>
      <c r="I246" s="130">
        <v>281.89999999999998</v>
      </c>
      <c r="J246" s="130">
        <v>128.9</v>
      </c>
      <c r="K246" s="130">
        <v>121.5</v>
      </c>
      <c r="L246" s="131">
        <v>136.19999999999999</v>
      </c>
      <c r="M246" s="131">
        <v>151.69999999999999</v>
      </c>
      <c r="N246" s="131">
        <v>169.3</v>
      </c>
      <c r="O246" s="131">
        <v>136</v>
      </c>
      <c r="P246" s="131">
        <v>146</v>
      </c>
      <c r="Q246" s="131">
        <f t="shared" si="8"/>
        <v>3742</v>
      </c>
    </row>
    <row r="247" spans="1:17" x14ac:dyDescent="0.35">
      <c r="A247" s="129" t="s">
        <v>34</v>
      </c>
      <c r="B247" s="129">
        <v>2019</v>
      </c>
      <c r="C247" s="129" t="s">
        <v>43</v>
      </c>
      <c r="D247" s="129" t="str">
        <f t="shared" si="6"/>
        <v>October-2019</v>
      </c>
      <c r="E247" s="129" t="s">
        <v>89</v>
      </c>
      <c r="F247" s="130">
        <v>1885.5999999999997</v>
      </c>
      <c r="G247" s="130">
        <v>438.40000000000003</v>
      </c>
      <c r="H247" s="130">
        <v>298</v>
      </c>
      <c r="I247" s="130">
        <v>289.39999999999998</v>
      </c>
      <c r="J247" s="130">
        <v>140.6</v>
      </c>
      <c r="K247" s="130">
        <v>126.3</v>
      </c>
      <c r="L247" s="131">
        <v>141.69999999999999</v>
      </c>
      <c r="M247" s="131">
        <v>155.4</v>
      </c>
      <c r="N247" s="131">
        <v>167.1</v>
      </c>
      <c r="O247" s="131">
        <v>141</v>
      </c>
      <c r="P247" s="131">
        <v>147.19999999999999</v>
      </c>
      <c r="Q247" s="131">
        <f t="shared" si="8"/>
        <v>3783.4999999999995</v>
      </c>
    </row>
    <row r="248" spans="1:17" x14ac:dyDescent="0.35">
      <c r="A248" s="129" t="s">
        <v>30</v>
      </c>
      <c r="B248" s="129">
        <v>2019</v>
      </c>
      <c r="C248" s="129" t="s">
        <v>42</v>
      </c>
      <c r="D248" s="129" t="str">
        <f t="shared" si="6"/>
        <v>September-2019</v>
      </c>
      <c r="E248" s="129" t="s">
        <v>89</v>
      </c>
      <c r="F248" s="130">
        <v>1848.7</v>
      </c>
      <c r="G248" s="130">
        <v>449.29999999999995</v>
      </c>
      <c r="H248" s="130">
        <v>302.5</v>
      </c>
      <c r="I248" s="130">
        <v>293.60000000000002</v>
      </c>
      <c r="J248" s="130">
        <v>146.9</v>
      </c>
      <c r="K248" s="130">
        <v>131.6</v>
      </c>
      <c r="L248" s="131">
        <v>148.30000000000001</v>
      </c>
      <c r="M248" s="131">
        <v>160.19999999999999</v>
      </c>
      <c r="N248" s="131">
        <v>165.7</v>
      </c>
      <c r="O248" s="131">
        <v>145.4</v>
      </c>
      <c r="P248" s="131">
        <v>146.69999999999999</v>
      </c>
      <c r="Q248" s="131">
        <f t="shared" si="8"/>
        <v>3792.2</v>
      </c>
    </row>
    <row r="249" spans="1:17" x14ac:dyDescent="0.35">
      <c r="A249" s="129" t="s">
        <v>33</v>
      </c>
      <c r="B249" s="129">
        <v>2019</v>
      </c>
      <c r="C249" s="129" t="s">
        <v>42</v>
      </c>
      <c r="D249" s="129" t="str">
        <f t="shared" si="6"/>
        <v>September-2019</v>
      </c>
      <c r="E249" s="129" t="s">
        <v>89</v>
      </c>
      <c r="F249" s="130">
        <v>1874.9</v>
      </c>
      <c r="G249" s="130">
        <v>420.8</v>
      </c>
      <c r="H249" s="130">
        <v>290.5</v>
      </c>
      <c r="I249" s="130">
        <v>280.89999999999998</v>
      </c>
      <c r="J249" s="130">
        <v>126.6</v>
      </c>
      <c r="K249" s="130">
        <v>121.2</v>
      </c>
      <c r="L249" s="131">
        <v>135.9</v>
      </c>
      <c r="M249" s="131">
        <v>151.6</v>
      </c>
      <c r="N249" s="131">
        <v>168.6</v>
      </c>
      <c r="O249" s="131">
        <v>135.69999999999999</v>
      </c>
      <c r="P249" s="131">
        <v>144.69999999999999</v>
      </c>
      <c r="Q249" s="131">
        <f t="shared" si="8"/>
        <v>3706.7</v>
      </c>
    </row>
    <row r="250" spans="1:17" x14ac:dyDescent="0.35">
      <c r="A250" s="129" t="s">
        <v>34</v>
      </c>
      <c r="B250" s="129">
        <v>2019</v>
      </c>
      <c r="C250" s="129" t="s">
        <v>42</v>
      </c>
      <c r="D250" s="129" t="str">
        <f t="shared" si="6"/>
        <v>September-2019</v>
      </c>
      <c r="E250" s="129" t="s">
        <v>89</v>
      </c>
      <c r="F250" s="130">
        <v>1857.6999999999998</v>
      </c>
      <c r="G250" s="130">
        <v>437.69999999999993</v>
      </c>
      <c r="H250" s="130">
        <v>296.79999999999995</v>
      </c>
      <c r="I250" s="130">
        <v>288.7</v>
      </c>
      <c r="J250" s="130">
        <v>139.19999999999999</v>
      </c>
      <c r="K250" s="130">
        <v>126.1</v>
      </c>
      <c r="L250" s="131">
        <v>141.30000000000001</v>
      </c>
      <c r="M250" s="131">
        <v>155.19999999999999</v>
      </c>
      <c r="N250" s="131">
        <v>166.5</v>
      </c>
      <c r="O250" s="131">
        <v>140.69999999999999</v>
      </c>
      <c r="P250" s="131">
        <v>145.80000000000001</v>
      </c>
      <c r="Q250" s="131">
        <f t="shared" si="8"/>
        <v>3749.8999999999992</v>
      </c>
    </row>
    <row r="251" spans="1:17" x14ac:dyDescent="0.35">
      <c r="A251" s="129" t="s">
        <v>30</v>
      </c>
      <c r="B251" s="129">
        <v>2020</v>
      </c>
      <c r="C251" s="129" t="s">
        <v>31</v>
      </c>
      <c r="D251" s="129" t="str">
        <f t="shared" si="6"/>
        <v>January-2020</v>
      </c>
      <c r="E251" s="129" t="s">
        <v>89</v>
      </c>
      <c r="F251" s="130">
        <v>1938.6</v>
      </c>
      <c r="G251" s="130">
        <v>452.30000000000007</v>
      </c>
      <c r="H251" s="130">
        <v>305.60000000000002</v>
      </c>
      <c r="I251" s="130">
        <v>298.2</v>
      </c>
      <c r="J251" s="130">
        <v>150.4</v>
      </c>
      <c r="K251" s="130">
        <v>136.30000000000001</v>
      </c>
      <c r="L251" s="131">
        <v>150.1</v>
      </c>
      <c r="M251" s="131">
        <v>161.69999999999999</v>
      </c>
      <c r="N251" s="131">
        <v>168.6</v>
      </c>
      <c r="O251" s="131">
        <v>148.1</v>
      </c>
      <c r="P251" s="131">
        <v>151.9</v>
      </c>
      <c r="Q251" s="131">
        <f t="shared" si="7"/>
        <v>3909.8999999999996</v>
      </c>
    </row>
    <row r="252" spans="1:17" x14ac:dyDescent="0.35">
      <c r="A252" s="129" t="s">
        <v>33</v>
      </c>
      <c r="B252" s="129">
        <v>2020</v>
      </c>
      <c r="C252" s="129" t="s">
        <v>31</v>
      </c>
      <c r="D252" s="129" t="str">
        <f t="shared" si="6"/>
        <v>January-2020</v>
      </c>
      <c r="E252" s="129" t="s">
        <v>89</v>
      </c>
      <c r="F252" s="130">
        <v>1945.3999999999999</v>
      </c>
      <c r="G252" s="130">
        <v>425.1</v>
      </c>
      <c r="H252" s="130">
        <v>294</v>
      </c>
      <c r="I252" s="130">
        <v>285.89999999999998</v>
      </c>
      <c r="J252" s="130">
        <v>135.1</v>
      </c>
      <c r="K252" s="130">
        <v>126.1</v>
      </c>
      <c r="L252" s="131">
        <v>137.19999999999999</v>
      </c>
      <c r="M252" s="131">
        <v>152.1</v>
      </c>
      <c r="N252" s="131">
        <v>170.8</v>
      </c>
      <c r="O252" s="131">
        <v>138.4</v>
      </c>
      <c r="P252" s="131">
        <v>148.19999999999999</v>
      </c>
      <c r="Q252" s="131">
        <f t="shared" si="7"/>
        <v>3810.1</v>
      </c>
    </row>
    <row r="253" spans="1:17" x14ac:dyDescent="0.35">
      <c r="A253" s="129" t="s">
        <v>34</v>
      </c>
      <c r="B253" s="129">
        <v>2020</v>
      </c>
      <c r="C253" s="129" t="s">
        <v>31</v>
      </c>
      <c r="D253" s="129" t="str">
        <f t="shared" si="6"/>
        <v>January-2020</v>
      </c>
      <c r="E253" s="129" t="s">
        <v>89</v>
      </c>
      <c r="F253" s="130">
        <v>1940.3999999999999</v>
      </c>
      <c r="G253" s="130">
        <v>441.2</v>
      </c>
      <c r="H253" s="130">
        <v>300.10000000000002</v>
      </c>
      <c r="I253" s="130">
        <v>293.5</v>
      </c>
      <c r="J253" s="130">
        <v>144.6</v>
      </c>
      <c r="K253" s="130">
        <v>130.9</v>
      </c>
      <c r="L253" s="131">
        <v>142.80000000000001</v>
      </c>
      <c r="M253" s="131">
        <v>156.1</v>
      </c>
      <c r="N253" s="131">
        <v>169.2</v>
      </c>
      <c r="O253" s="131">
        <v>143.4</v>
      </c>
      <c r="P253" s="131">
        <v>150.19999999999999</v>
      </c>
      <c r="Q253" s="131">
        <f t="shared" si="7"/>
        <v>3862.2</v>
      </c>
    </row>
    <row r="254" spans="1:17" x14ac:dyDescent="0.35">
      <c r="A254" s="129" t="s">
        <v>30</v>
      </c>
      <c r="B254" s="129">
        <v>2020</v>
      </c>
      <c r="C254" s="129" t="s">
        <v>35</v>
      </c>
      <c r="D254" s="129" t="str">
        <f t="shared" si="6"/>
        <v>February-2020</v>
      </c>
      <c r="E254" s="129" t="s">
        <v>89</v>
      </c>
      <c r="F254" s="130">
        <v>1909.7999999999997</v>
      </c>
      <c r="G254" s="130">
        <v>452.8</v>
      </c>
      <c r="H254" s="130">
        <v>306.60000000000002</v>
      </c>
      <c r="I254" s="130">
        <v>299.60000000000002</v>
      </c>
      <c r="J254" s="130">
        <v>152.30000000000001</v>
      </c>
      <c r="K254" s="130">
        <v>136</v>
      </c>
      <c r="L254" s="131">
        <v>150.4</v>
      </c>
      <c r="M254" s="131">
        <v>161.9</v>
      </c>
      <c r="N254" s="131">
        <v>169.4</v>
      </c>
      <c r="O254" s="131">
        <v>148.4</v>
      </c>
      <c r="P254" s="131">
        <v>150.4</v>
      </c>
      <c r="Q254" s="131">
        <f t="shared" si="7"/>
        <v>3887.2000000000003</v>
      </c>
    </row>
    <row r="255" spans="1:17" x14ac:dyDescent="0.35">
      <c r="A255" s="129" t="s">
        <v>33</v>
      </c>
      <c r="B255" s="129">
        <v>2020</v>
      </c>
      <c r="C255" s="129" t="s">
        <v>35</v>
      </c>
      <c r="D255" s="129" t="str">
        <f t="shared" si="6"/>
        <v>February-2020</v>
      </c>
      <c r="E255" s="129" t="s">
        <v>89</v>
      </c>
      <c r="F255" s="130">
        <v>1916.6</v>
      </c>
      <c r="G255" s="130">
        <v>426</v>
      </c>
      <c r="H255" s="130">
        <v>295.20000000000005</v>
      </c>
      <c r="I255" s="130">
        <v>287.89999999999998</v>
      </c>
      <c r="J255" s="130">
        <v>138.9</v>
      </c>
      <c r="K255" s="130">
        <v>125.2</v>
      </c>
      <c r="L255" s="131">
        <v>137.69999999999999</v>
      </c>
      <c r="M255" s="131">
        <v>152.19999999999999</v>
      </c>
      <c r="N255" s="131">
        <v>172</v>
      </c>
      <c r="O255" s="131">
        <v>138.4</v>
      </c>
      <c r="P255" s="131">
        <v>147.69999999999999</v>
      </c>
      <c r="Q255" s="131">
        <f t="shared" si="7"/>
        <v>3790.1</v>
      </c>
    </row>
    <row r="256" spans="1:17" x14ac:dyDescent="0.35">
      <c r="A256" s="129" t="s">
        <v>34</v>
      </c>
      <c r="B256" s="129">
        <v>2020</v>
      </c>
      <c r="C256" s="129" t="s">
        <v>35</v>
      </c>
      <c r="D256" s="129" t="str">
        <f t="shared" si="6"/>
        <v>February-2020</v>
      </c>
      <c r="E256" s="129" t="s">
        <v>89</v>
      </c>
      <c r="F256" s="130">
        <v>1911.6</v>
      </c>
      <c r="G256" s="130">
        <v>442</v>
      </c>
      <c r="H256" s="130">
        <v>301.20000000000005</v>
      </c>
      <c r="I256" s="130">
        <v>295.10000000000002</v>
      </c>
      <c r="J256" s="130">
        <v>147.19999999999999</v>
      </c>
      <c r="K256" s="130">
        <v>130.30000000000001</v>
      </c>
      <c r="L256" s="131">
        <v>143.19999999999999</v>
      </c>
      <c r="M256" s="131">
        <v>156.19999999999999</v>
      </c>
      <c r="N256" s="131">
        <v>170.1</v>
      </c>
      <c r="O256" s="131">
        <v>143.6</v>
      </c>
      <c r="P256" s="131">
        <v>149.1</v>
      </c>
      <c r="Q256" s="131">
        <f t="shared" si="7"/>
        <v>3840.4999999999995</v>
      </c>
    </row>
    <row r="257" spans="1:17" x14ac:dyDescent="0.35">
      <c r="A257" s="129" t="s">
        <v>30</v>
      </c>
      <c r="B257" s="129">
        <v>2020</v>
      </c>
      <c r="C257" s="129" t="s">
        <v>36</v>
      </c>
      <c r="D257" s="129" t="str">
        <f t="shared" si="6"/>
        <v>March-2020</v>
      </c>
      <c r="E257" s="129" t="s">
        <v>89</v>
      </c>
      <c r="F257" s="130">
        <v>1894.5999999999997</v>
      </c>
      <c r="G257" s="130">
        <v>453.5</v>
      </c>
      <c r="H257" s="130">
        <v>306</v>
      </c>
      <c r="I257" s="130">
        <v>301.79999999999995</v>
      </c>
      <c r="J257" s="130">
        <v>153.4</v>
      </c>
      <c r="K257" s="130">
        <v>135.80000000000001</v>
      </c>
      <c r="L257" s="131">
        <v>151.19999999999999</v>
      </c>
      <c r="M257" s="131">
        <v>161.19999999999999</v>
      </c>
      <c r="N257" s="131">
        <v>170.5</v>
      </c>
      <c r="O257" s="131">
        <v>148.6</v>
      </c>
      <c r="P257" s="131">
        <v>149.80000000000001</v>
      </c>
      <c r="Q257" s="131">
        <f t="shared" si="7"/>
        <v>3876.5999999999995</v>
      </c>
    </row>
    <row r="258" spans="1:17" x14ac:dyDescent="0.35">
      <c r="A258" s="129" t="s">
        <v>33</v>
      </c>
      <c r="B258" s="129">
        <v>2020</v>
      </c>
      <c r="C258" s="129" t="s">
        <v>36</v>
      </c>
      <c r="D258" s="129" t="str">
        <f t="shared" ref="D258:D321" si="9">CONCATENATE(C258,"-",B258)</f>
        <v>March-2020</v>
      </c>
      <c r="E258" s="129" t="s">
        <v>89</v>
      </c>
      <c r="F258" s="130">
        <v>1898.5</v>
      </c>
      <c r="G258" s="130">
        <v>427.1</v>
      </c>
      <c r="H258" s="130">
        <v>295.3</v>
      </c>
      <c r="I258" s="130">
        <v>290.3</v>
      </c>
      <c r="J258" s="130">
        <v>141.4</v>
      </c>
      <c r="K258" s="130">
        <v>124.6</v>
      </c>
      <c r="L258" s="131">
        <v>137.9</v>
      </c>
      <c r="M258" s="131">
        <v>152.5</v>
      </c>
      <c r="N258" s="131">
        <v>173.3</v>
      </c>
      <c r="O258" s="131">
        <v>138.69999999999999</v>
      </c>
      <c r="P258" s="131">
        <v>147.30000000000001</v>
      </c>
      <c r="Q258" s="131">
        <f t="shared" si="7"/>
        <v>3779.6000000000004</v>
      </c>
    </row>
    <row r="259" spans="1:17" x14ac:dyDescent="0.35">
      <c r="A259" s="129" t="s">
        <v>34</v>
      </c>
      <c r="B259" s="129">
        <v>2020</v>
      </c>
      <c r="C259" s="129" t="s">
        <v>36</v>
      </c>
      <c r="D259" s="129" t="str">
        <f t="shared" si="9"/>
        <v>March-2020</v>
      </c>
      <c r="E259" s="129" t="s">
        <v>89</v>
      </c>
      <c r="F259" s="130">
        <v>1895.4</v>
      </c>
      <c r="G259" s="130">
        <v>442.90000000000003</v>
      </c>
      <c r="H259" s="130">
        <v>300.89999999999998</v>
      </c>
      <c r="I259" s="130">
        <v>297.5</v>
      </c>
      <c r="J259" s="130">
        <v>148.9</v>
      </c>
      <c r="K259" s="130">
        <v>129.9</v>
      </c>
      <c r="L259" s="131">
        <v>143.69999999999999</v>
      </c>
      <c r="M259" s="131">
        <v>156.1</v>
      </c>
      <c r="N259" s="131">
        <v>171.2</v>
      </c>
      <c r="O259" s="131">
        <v>143.80000000000001</v>
      </c>
      <c r="P259" s="131">
        <v>148.6</v>
      </c>
      <c r="Q259" s="131">
        <f t="shared" ref="Q259:Q322" si="10">SUM(F259:O259)</f>
        <v>3830.3</v>
      </c>
    </row>
    <row r="260" spans="1:17" x14ac:dyDescent="0.35">
      <c r="A260" s="129" t="s">
        <v>30</v>
      </c>
      <c r="B260" s="129">
        <v>2020</v>
      </c>
      <c r="C260" s="129" t="s">
        <v>37</v>
      </c>
      <c r="D260" s="129" t="str">
        <f t="shared" si="9"/>
        <v>April-2020</v>
      </c>
      <c r="E260" s="129" t="s">
        <v>91</v>
      </c>
      <c r="F260" s="130">
        <v>1614.8000000000002</v>
      </c>
      <c r="G260" s="130">
        <v>0</v>
      </c>
      <c r="H260" s="130">
        <v>155.6</v>
      </c>
      <c r="I260" s="130">
        <v>154.30000000000001</v>
      </c>
      <c r="J260" s="130">
        <v>148.4</v>
      </c>
      <c r="K260" s="130" t="s">
        <v>32</v>
      </c>
      <c r="L260" s="131" t="s">
        <v>32</v>
      </c>
      <c r="M260" s="131" t="s">
        <v>32</v>
      </c>
      <c r="N260" s="131" t="s">
        <v>32</v>
      </c>
      <c r="O260" s="131" t="s">
        <v>32</v>
      </c>
      <c r="P260" s="131" t="s">
        <v>32</v>
      </c>
      <c r="Q260" s="131">
        <f t="shared" si="10"/>
        <v>2073.1</v>
      </c>
    </row>
    <row r="261" spans="1:17" x14ac:dyDescent="0.35">
      <c r="A261" s="129" t="s">
        <v>33</v>
      </c>
      <c r="B261" s="129">
        <v>2020</v>
      </c>
      <c r="C261" s="129" t="s">
        <v>37</v>
      </c>
      <c r="D261" s="129" t="str">
        <f t="shared" si="9"/>
        <v>April-2020</v>
      </c>
      <c r="E261" s="129" t="s">
        <v>91</v>
      </c>
      <c r="F261" s="130">
        <v>1636.7</v>
      </c>
      <c r="G261" s="130">
        <v>0</v>
      </c>
      <c r="H261" s="130">
        <v>155.6</v>
      </c>
      <c r="I261" s="130">
        <v>144.80000000000001</v>
      </c>
      <c r="J261" s="130">
        <v>137.1</v>
      </c>
      <c r="K261" s="130" t="s">
        <v>32</v>
      </c>
      <c r="L261" s="131" t="s">
        <v>32</v>
      </c>
      <c r="M261" s="131" t="s">
        <v>32</v>
      </c>
      <c r="N261" s="131" t="s">
        <v>32</v>
      </c>
      <c r="O261" s="131" t="s">
        <v>32</v>
      </c>
      <c r="P261" s="131" t="s">
        <v>32</v>
      </c>
      <c r="Q261" s="131">
        <f t="shared" si="10"/>
        <v>2074.1999999999998</v>
      </c>
    </row>
    <row r="262" spans="1:17" x14ac:dyDescent="0.35">
      <c r="A262" s="129" t="s">
        <v>34</v>
      </c>
      <c r="B262" s="129">
        <v>2020</v>
      </c>
      <c r="C262" s="129" t="s">
        <v>37</v>
      </c>
      <c r="D262" s="129" t="str">
        <f t="shared" si="9"/>
        <v>April-2020</v>
      </c>
      <c r="E262" s="129" t="s">
        <v>91</v>
      </c>
      <c r="F262" s="130">
        <v>1622.7</v>
      </c>
      <c r="G262" s="130">
        <v>0</v>
      </c>
      <c r="H262" s="130">
        <v>155.6</v>
      </c>
      <c r="I262" s="130">
        <v>150.69999999999999</v>
      </c>
      <c r="J262" s="130">
        <v>144.1</v>
      </c>
      <c r="K262" s="130" t="s">
        <v>32</v>
      </c>
      <c r="L262" s="131" t="s">
        <v>32</v>
      </c>
      <c r="M262" s="131" t="s">
        <v>32</v>
      </c>
      <c r="N262" s="131" t="s">
        <v>32</v>
      </c>
      <c r="O262" s="131" t="s">
        <v>32</v>
      </c>
      <c r="P262" s="131" t="s">
        <v>32</v>
      </c>
      <c r="Q262" s="131">
        <f t="shared" si="10"/>
        <v>2073.1</v>
      </c>
    </row>
    <row r="263" spans="1:17" x14ac:dyDescent="0.35">
      <c r="A263" s="129" t="s">
        <v>30</v>
      </c>
      <c r="B263" s="129">
        <v>2020</v>
      </c>
      <c r="C263" s="129" t="s">
        <v>39</v>
      </c>
      <c r="D263" s="129" t="str">
        <f t="shared" si="9"/>
        <v>June-2020</v>
      </c>
      <c r="E263" s="129" t="s">
        <v>91</v>
      </c>
      <c r="F263" s="130">
        <v>1951</v>
      </c>
      <c r="G263" s="130">
        <v>458.79999999999995</v>
      </c>
      <c r="H263" s="130">
        <v>306.39999999999998</v>
      </c>
      <c r="I263" s="130">
        <v>309.39999999999998</v>
      </c>
      <c r="J263" s="130">
        <v>144.9</v>
      </c>
      <c r="K263" s="130">
        <v>141.4</v>
      </c>
      <c r="L263" s="131">
        <v>153.19999999999999</v>
      </c>
      <c r="M263" s="131">
        <v>161.80000000000001</v>
      </c>
      <c r="N263" s="131">
        <v>182.4</v>
      </c>
      <c r="O263" s="131">
        <v>151.69999999999999</v>
      </c>
      <c r="P263" s="131">
        <v>152.69999999999999</v>
      </c>
      <c r="Q263" s="131">
        <f t="shared" si="10"/>
        <v>3961.0000000000005</v>
      </c>
    </row>
    <row r="264" spans="1:17" x14ac:dyDescent="0.35">
      <c r="A264" s="129" t="s">
        <v>33</v>
      </c>
      <c r="B264" s="129">
        <v>2020</v>
      </c>
      <c r="C264" s="129" t="s">
        <v>39</v>
      </c>
      <c r="D264" s="129" t="str">
        <f t="shared" si="9"/>
        <v>June-2020</v>
      </c>
      <c r="E264" s="129" t="s">
        <v>91</v>
      </c>
      <c r="F264" s="130">
        <v>1994.9999999999998</v>
      </c>
      <c r="G264" s="130">
        <v>432.9</v>
      </c>
      <c r="H264" s="130">
        <v>295.10000000000002</v>
      </c>
      <c r="I264" s="130">
        <v>300.29999999999995</v>
      </c>
      <c r="J264" s="130">
        <v>137.1</v>
      </c>
      <c r="K264" s="130">
        <v>129.30000000000001</v>
      </c>
      <c r="L264" s="131">
        <v>144.5</v>
      </c>
      <c r="M264" s="131">
        <v>152.5</v>
      </c>
      <c r="N264" s="131">
        <v>186.7</v>
      </c>
      <c r="O264" s="131">
        <v>142</v>
      </c>
      <c r="P264" s="131">
        <v>150.80000000000001</v>
      </c>
      <c r="Q264" s="131">
        <f t="shared" si="10"/>
        <v>3915.3999999999992</v>
      </c>
    </row>
    <row r="265" spans="1:17" x14ac:dyDescent="0.35">
      <c r="A265" s="129" t="s">
        <v>34</v>
      </c>
      <c r="B265" s="129">
        <v>2020</v>
      </c>
      <c r="C265" s="129" t="s">
        <v>39</v>
      </c>
      <c r="D265" s="129" t="str">
        <f t="shared" si="9"/>
        <v>June-2020</v>
      </c>
      <c r="E265" s="129" t="s">
        <v>91</v>
      </c>
      <c r="F265" s="130">
        <v>1966.8000000000002</v>
      </c>
      <c r="G265" s="130">
        <v>448.29999999999995</v>
      </c>
      <c r="H265" s="130">
        <v>301.10000000000002</v>
      </c>
      <c r="I265" s="130">
        <v>306</v>
      </c>
      <c r="J265" s="130">
        <v>141.9</v>
      </c>
      <c r="K265" s="130">
        <v>135</v>
      </c>
      <c r="L265" s="131">
        <v>148.30000000000001</v>
      </c>
      <c r="M265" s="131">
        <v>156.4</v>
      </c>
      <c r="N265" s="131">
        <v>183.5</v>
      </c>
      <c r="O265" s="131">
        <v>147</v>
      </c>
      <c r="P265" s="131">
        <v>151.80000000000001</v>
      </c>
      <c r="Q265" s="131">
        <f t="shared" si="10"/>
        <v>3934.3000000000006</v>
      </c>
    </row>
    <row r="266" spans="1:17" x14ac:dyDescent="0.35">
      <c r="A266" s="129" t="s">
        <v>30</v>
      </c>
      <c r="B266" s="129">
        <v>2020</v>
      </c>
      <c r="C266" s="129" t="s">
        <v>40</v>
      </c>
      <c r="D266" s="129" t="str">
        <f t="shared" si="9"/>
        <v>July-2020</v>
      </c>
      <c r="E266" s="129" t="s">
        <v>91</v>
      </c>
      <c r="F266" s="130">
        <v>1951</v>
      </c>
      <c r="G266" s="130">
        <v>458.79999999999995</v>
      </c>
      <c r="H266" s="130">
        <v>306.39999999999998</v>
      </c>
      <c r="I266" s="130">
        <v>309.39999999999998</v>
      </c>
      <c r="J266" s="130">
        <v>144.9</v>
      </c>
      <c r="K266" s="130">
        <v>141.4</v>
      </c>
      <c r="L266" s="131">
        <v>153.19999999999999</v>
      </c>
      <c r="M266" s="131">
        <v>161.80000000000001</v>
      </c>
      <c r="N266" s="131">
        <v>182.4</v>
      </c>
      <c r="O266" s="131">
        <v>151.69999999999999</v>
      </c>
      <c r="P266" s="131">
        <v>152.69999999999999</v>
      </c>
      <c r="Q266" s="131">
        <f t="shared" si="10"/>
        <v>3961.0000000000005</v>
      </c>
    </row>
    <row r="267" spans="1:17" x14ac:dyDescent="0.35">
      <c r="A267" s="129" t="s">
        <v>33</v>
      </c>
      <c r="B267" s="129">
        <v>2020</v>
      </c>
      <c r="C267" s="129" t="s">
        <v>40</v>
      </c>
      <c r="D267" s="129" t="str">
        <f t="shared" si="9"/>
        <v>July-2020</v>
      </c>
      <c r="E267" s="129" t="s">
        <v>91</v>
      </c>
      <c r="F267" s="130">
        <v>1994.9999999999998</v>
      </c>
      <c r="G267" s="130">
        <v>432.9</v>
      </c>
      <c r="H267" s="130">
        <v>295.10000000000002</v>
      </c>
      <c r="I267" s="130">
        <v>300.29999999999995</v>
      </c>
      <c r="J267" s="130">
        <v>137.1</v>
      </c>
      <c r="K267" s="130">
        <v>129.30000000000001</v>
      </c>
      <c r="L267" s="131">
        <v>144.5</v>
      </c>
      <c r="M267" s="131">
        <v>152.5</v>
      </c>
      <c r="N267" s="131">
        <v>186.7</v>
      </c>
      <c r="O267" s="131">
        <v>142</v>
      </c>
      <c r="P267" s="131">
        <v>150.80000000000001</v>
      </c>
      <c r="Q267" s="131">
        <f t="shared" si="10"/>
        <v>3915.3999999999992</v>
      </c>
    </row>
    <row r="268" spans="1:17" x14ac:dyDescent="0.35">
      <c r="A268" s="129" t="s">
        <v>34</v>
      </c>
      <c r="B268" s="129">
        <v>2020</v>
      </c>
      <c r="C268" s="129" t="s">
        <v>40</v>
      </c>
      <c r="D268" s="129" t="str">
        <f t="shared" si="9"/>
        <v>July-2020</v>
      </c>
      <c r="E268" s="129" t="s">
        <v>91</v>
      </c>
      <c r="F268" s="130">
        <v>1966.8000000000002</v>
      </c>
      <c r="G268" s="130">
        <v>448.29999999999995</v>
      </c>
      <c r="H268" s="130">
        <v>301.10000000000002</v>
      </c>
      <c r="I268" s="130">
        <v>306</v>
      </c>
      <c r="J268" s="130">
        <v>141.9</v>
      </c>
      <c r="K268" s="130">
        <v>135</v>
      </c>
      <c r="L268" s="131">
        <v>148.30000000000001</v>
      </c>
      <c r="M268" s="131">
        <v>156.4</v>
      </c>
      <c r="N268" s="131">
        <v>183.5</v>
      </c>
      <c r="O268" s="131">
        <v>147</v>
      </c>
      <c r="P268" s="131">
        <v>151.80000000000001</v>
      </c>
      <c r="Q268" s="131">
        <f t="shared" si="10"/>
        <v>3934.3000000000006</v>
      </c>
    </row>
    <row r="269" spans="1:17" x14ac:dyDescent="0.35">
      <c r="A269" s="129" t="s">
        <v>30</v>
      </c>
      <c r="B269" s="129">
        <v>2020</v>
      </c>
      <c r="C269" s="129" t="s">
        <v>41</v>
      </c>
      <c r="D269" s="129" t="str">
        <f t="shared" si="9"/>
        <v>August-2020</v>
      </c>
      <c r="E269" s="129" t="s">
        <v>91</v>
      </c>
      <c r="F269" s="130">
        <v>1978.6</v>
      </c>
      <c r="G269" s="130">
        <v>458.7</v>
      </c>
      <c r="H269" s="130">
        <v>307.39999999999998</v>
      </c>
      <c r="I269" s="130">
        <v>312.39999999999998</v>
      </c>
      <c r="J269" s="130">
        <v>145.80000000000001</v>
      </c>
      <c r="K269" s="130">
        <v>143.6</v>
      </c>
      <c r="L269" s="131">
        <v>152.19999999999999</v>
      </c>
      <c r="M269" s="131">
        <v>162.69999999999999</v>
      </c>
      <c r="N269" s="131">
        <v>180.9</v>
      </c>
      <c r="O269" s="131">
        <v>153</v>
      </c>
      <c r="P269" s="131">
        <v>154.69999999999999</v>
      </c>
      <c r="Q269" s="131">
        <f t="shared" si="10"/>
        <v>3995.2999999999997</v>
      </c>
    </row>
    <row r="270" spans="1:17" x14ac:dyDescent="0.35">
      <c r="A270" s="129" t="s">
        <v>33</v>
      </c>
      <c r="B270" s="129">
        <v>2020</v>
      </c>
      <c r="C270" s="129" t="s">
        <v>41</v>
      </c>
      <c r="D270" s="129" t="str">
        <f t="shared" si="9"/>
        <v>August-2020</v>
      </c>
      <c r="E270" s="129" t="s">
        <v>91</v>
      </c>
      <c r="F270" s="130">
        <v>2024.8999999999999</v>
      </c>
      <c r="G270" s="130">
        <v>433</v>
      </c>
      <c r="H270" s="130">
        <v>300</v>
      </c>
      <c r="I270" s="130">
        <v>303.89999999999998</v>
      </c>
      <c r="J270" s="130">
        <v>138.30000000000001</v>
      </c>
      <c r="K270" s="130">
        <v>133.9</v>
      </c>
      <c r="L270" s="131">
        <v>141.19999999999999</v>
      </c>
      <c r="M270" s="131">
        <v>155.5</v>
      </c>
      <c r="N270" s="131">
        <v>187.2</v>
      </c>
      <c r="O270" s="131">
        <v>144.80000000000001</v>
      </c>
      <c r="P270" s="131">
        <v>152.9</v>
      </c>
      <c r="Q270" s="131">
        <f t="shared" si="10"/>
        <v>3962.7</v>
      </c>
    </row>
    <row r="271" spans="1:17" x14ac:dyDescent="0.35">
      <c r="A271" s="129" t="s">
        <v>34</v>
      </c>
      <c r="B271" s="129">
        <v>2020</v>
      </c>
      <c r="C271" s="129" t="s">
        <v>41</v>
      </c>
      <c r="D271" s="129" t="str">
        <f t="shared" si="9"/>
        <v>August-2020</v>
      </c>
      <c r="E271" s="129" t="s">
        <v>91</v>
      </c>
      <c r="F271" s="130">
        <v>1995.1999999999998</v>
      </c>
      <c r="G271" s="130">
        <v>448.2</v>
      </c>
      <c r="H271" s="130">
        <v>303.89999999999998</v>
      </c>
      <c r="I271" s="130">
        <v>309.3</v>
      </c>
      <c r="J271" s="130">
        <v>143</v>
      </c>
      <c r="K271" s="130">
        <v>138.5</v>
      </c>
      <c r="L271" s="131">
        <v>146</v>
      </c>
      <c r="M271" s="131">
        <v>158.5</v>
      </c>
      <c r="N271" s="131">
        <v>182.6</v>
      </c>
      <c r="O271" s="131">
        <v>149</v>
      </c>
      <c r="P271" s="131">
        <v>153.9</v>
      </c>
      <c r="Q271" s="131">
        <f t="shared" si="10"/>
        <v>3974.2</v>
      </c>
    </row>
    <row r="272" spans="1:17" x14ac:dyDescent="0.35">
      <c r="A272" s="129" t="s">
        <v>30</v>
      </c>
      <c r="B272" s="129">
        <v>2020</v>
      </c>
      <c r="C272" s="129" t="s">
        <v>42</v>
      </c>
      <c r="D272" s="129" t="str">
        <f t="shared" si="9"/>
        <v>September-2020</v>
      </c>
      <c r="E272" s="129" t="s">
        <v>91</v>
      </c>
      <c r="F272" s="130">
        <v>1987.3999999999999</v>
      </c>
      <c r="G272" s="130">
        <v>459.9</v>
      </c>
      <c r="H272" s="130">
        <v>307.89999999999998</v>
      </c>
      <c r="I272" s="130">
        <v>316.5</v>
      </c>
      <c r="J272" s="130">
        <v>146.4</v>
      </c>
      <c r="K272" s="130">
        <v>144.6</v>
      </c>
      <c r="L272" s="131">
        <v>152.80000000000001</v>
      </c>
      <c r="M272" s="131">
        <v>161.1</v>
      </c>
      <c r="N272" s="131">
        <v>182.9</v>
      </c>
      <c r="O272" s="131">
        <v>153.69999999999999</v>
      </c>
      <c r="P272" s="131">
        <v>155.4</v>
      </c>
      <c r="Q272" s="131">
        <f t="shared" si="10"/>
        <v>4013.2</v>
      </c>
    </row>
    <row r="273" spans="1:17" x14ac:dyDescent="0.35">
      <c r="A273" s="129" t="s">
        <v>33</v>
      </c>
      <c r="B273" s="129">
        <v>2020</v>
      </c>
      <c r="C273" s="129" t="s">
        <v>42</v>
      </c>
      <c r="D273" s="129" t="str">
        <f t="shared" si="9"/>
        <v>September-2020</v>
      </c>
      <c r="E273" s="129" t="s">
        <v>91</v>
      </c>
      <c r="F273" s="130">
        <v>2041.6000000000001</v>
      </c>
      <c r="G273" s="130">
        <v>434.6</v>
      </c>
      <c r="H273" s="130">
        <v>301.70000000000005</v>
      </c>
      <c r="I273" s="130">
        <v>309.8</v>
      </c>
      <c r="J273" s="130">
        <v>137.19999999999999</v>
      </c>
      <c r="K273" s="130">
        <v>135.1</v>
      </c>
      <c r="L273" s="131">
        <v>141.80000000000001</v>
      </c>
      <c r="M273" s="131">
        <v>154.9</v>
      </c>
      <c r="N273" s="131">
        <v>188.7</v>
      </c>
      <c r="O273" s="131">
        <v>146</v>
      </c>
      <c r="P273" s="131">
        <v>154</v>
      </c>
      <c r="Q273" s="131">
        <f t="shared" si="10"/>
        <v>3991.4000000000005</v>
      </c>
    </row>
    <row r="274" spans="1:17" x14ac:dyDescent="0.35">
      <c r="A274" s="129" t="s">
        <v>34</v>
      </c>
      <c r="B274" s="129">
        <v>2020</v>
      </c>
      <c r="C274" s="129" t="s">
        <v>42</v>
      </c>
      <c r="D274" s="129" t="str">
        <f t="shared" si="9"/>
        <v>September-2020</v>
      </c>
      <c r="E274" s="129" t="s">
        <v>91</v>
      </c>
      <c r="F274" s="130">
        <v>2007</v>
      </c>
      <c r="G274" s="130">
        <v>449.70000000000005</v>
      </c>
      <c r="H274" s="130">
        <v>305</v>
      </c>
      <c r="I274" s="130">
        <v>314</v>
      </c>
      <c r="J274" s="130">
        <v>142.9</v>
      </c>
      <c r="K274" s="130">
        <v>139.6</v>
      </c>
      <c r="L274" s="131">
        <v>146.6</v>
      </c>
      <c r="M274" s="131">
        <v>157.5</v>
      </c>
      <c r="N274" s="131">
        <v>184.4</v>
      </c>
      <c r="O274" s="131">
        <v>150</v>
      </c>
      <c r="P274" s="131">
        <v>154.69999999999999</v>
      </c>
      <c r="Q274" s="131">
        <f t="shared" si="10"/>
        <v>3996.7</v>
      </c>
    </row>
    <row r="275" spans="1:17" x14ac:dyDescent="0.35">
      <c r="A275" s="129" t="s">
        <v>30</v>
      </c>
      <c r="B275" s="129">
        <v>2020</v>
      </c>
      <c r="C275" s="129" t="s">
        <v>43</v>
      </c>
      <c r="D275" s="129" t="str">
        <f t="shared" si="9"/>
        <v>October-2020</v>
      </c>
      <c r="E275" s="129" t="s">
        <v>91</v>
      </c>
      <c r="F275" s="130">
        <v>2030.9</v>
      </c>
      <c r="G275" s="130">
        <v>461.29999999999995</v>
      </c>
      <c r="H275" s="130">
        <v>308.5</v>
      </c>
      <c r="I275" s="130">
        <v>315.7</v>
      </c>
      <c r="J275" s="130">
        <v>146.80000000000001</v>
      </c>
      <c r="K275" s="130">
        <v>146.4</v>
      </c>
      <c r="L275" s="131">
        <v>152.4</v>
      </c>
      <c r="M275" s="131">
        <v>162.5</v>
      </c>
      <c r="N275" s="131">
        <v>182.7</v>
      </c>
      <c r="O275" s="131">
        <v>154.30000000000001</v>
      </c>
      <c r="P275" s="131">
        <v>157.5</v>
      </c>
      <c r="Q275" s="131">
        <f t="shared" si="10"/>
        <v>4061.5</v>
      </c>
    </row>
    <row r="276" spans="1:17" x14ac:dyDescent="0.35">
      <c r="A276" s="129" t="s">
        <v>33</v>
      </c>
      <c r="B276" s="129">
        <v>2020</v>
      </c>
      <c r="C276" s="129" t="s">
        <v>43</v>
      </c>
      <c r="D276" s="129" t="str">
        <f t="shared" si="9"/>
        <v>October-2020</v>
      </c>
      <c r="E276" s="129" t="s">
        <v>91</v>
      </c>
      <c r="F276" s="130">
        <v>2080.1999999999998</v>
      </c>
      <c r="G276" s="130">
        <v>434.90000000000003</v>
      </c>
      <c r="H276" s="130">
        <v>301.60000000000002</v>
      </c>
      <c r="I276" s="130">
        <v>309.10000000000002</v>
      </c>
      <c r="J276" s="130">
        <v>137.1</v>
      </c>
      <c r="K276" s="130">
        <v>135.4</v>
      </c>
      <c r="L276" s="131">
        <v>142</v>
      </c>
      <c r="M276" s="131">
        <v>155.69999999999999</v>
      </c>
      <c r="N276" s="131">
        <v>188.7</v>
      </c>
      <c r="O276" s="131">
        <v>146.19999999999999</v>
      </c>
      <c r="P276" s="131">
        <v>155.19999999999999</v>
      </c>
      <c r="Q276" s="131">
        <f t="shared" si="10"/>
        <v>4030.8999999999992</v>
      </c>
    </row>
    <row r="277" spans="1:17" x14ac:dyDescent="0.35">
      <c r="A277" s="129" t="s">
        <v>34</v>
      </c>
      <c r="B277" s="129">
        <v>2020</v>
      </c>
      <c r="C277" s="129" t="s">
        <v>43</v>
      </c>
      <c r="D277" s="129" t="str">
        <f t="shared" si="9"/>
        <v>October-2020</v>
      </c>
      <c r="E277" s="129" t="s">
        <v>91</v>
      </c>
      <c r="F277" s="130">
        <v>2048.6000000000004</v>
      </c>
      <c r="G277" s="130">
        <v>450.59999999999997</v>
      </c>
      <c r="H277" s="130">
        <v>305.2</v>
      </c>
      <c r="I277" s="130">
        <v>313.3</v>
      </c>
      <c r="J277" s="130">
        <v>143.1</v>
      </c>
      <c r="K277" s="130">
        <v>140.6</v>
      </c>
      <c r="L277" s="131">
        <v>146.5</v>
      </c>
      <c r="M277" s="131">
        <v>158.5</v>
      </c>
      <c r="N277" s="131">
        <v>184.3</v>
      </c>
      <c r="O277" s="131">
        <v>150.4</v>
      </c>
      <c r="P277" s="131">
        <v>156.4</v>
      </c>
      <c r="Q277" s="131">
        <f t="shared" si="10"/>
        <v>4041.1000000000004</v>
      </c>
    </row>
    <row r="278" spans="1:17" x14ac:dyDescent="0.35">
      <c r="A278" s="129" t="s">
        <v>30</v>
      </c>
      <c r="B278" s="129">
        <v>2020</v>
      </c>
      <c r="C278" s="129" t="s">
        <v>45</v>
      </c>
      <c r="D278" s="129" t="str">
        <f t="shared" si="9"/>
        <v>November-2020</v>
      </c>
      <c r="E278" s="129" t="s">
        <v>91</v>
      </c>
      <c r="F278" s="130">
        <v>2082.4</v>
      </c>
      <c r="G278" s="130">
        <v>462.8</v>
      </c>
      <c r="H278" s="130">
        <v>310.8</v>
      </c>
      <c r="I278" s="130">
        <v>316.60000000000002</v>
      </c>
      <c r="J278" s="130">
        <v>147.5</v>
      </c>
      <c r="K278" s="130">
        <v>146.1</v>
      </c>
      <c r="L278" s="131">
        <v>153.6</v>
      </c>
      <c r="M278" s="131">
        <v>161.6</v>
      </c>
      <c r="N278" s="131">
        <v>183.4</v>
      </c>
      <c r="O278" s="131">
        <v>154.5</v>
      </c>
      <c r="P278" s="131">
        <v>159.80000000000001</v>
      </c>
      <c r="Q278" s="131">
        <f t="shared" si="10"/>
        <v>4119.3</v>
      </c>
    </row>
    <row r="279" spans="1:17" x14ac:dyDescent="0.35">
      <c r="A279" s="129" t="s">
        <v>33</v>
      </c>
      <c r="B279" s="129">
        <v>2020</v>
      </c>
      <c r="C279" s="129" t="s">
        <v>45</v>
      </c>
      <c r="D279" s="129" t="str">
        <f t="shared" si="9"/>
        <v>November-2020</v>
      </c>
      <c r="E279" s="129" t="s">
        <v>91</v>
      </c>
      <c r="F279" s="130">
        <v>2120.6999999999998</v>
      </c>
      <c r="G279" s="130">
        <v>436.3</v>
      </c>
      <c r="H279" s="130">
        <v>303.10000000000002</v>
      </c>
      <c r="I279" s="130">
        <v>309.89999999999998</v>
      </c>
      <c r="J279" s="130">
        <v>137.30000000000001</v>
      </c>
      <c r="K279" s="130">
        <v>135.19999999999999</v>
      </c>
      <c r="L279" s="131">
        <v>144.4</v>
      </c>
      <c r="M279" s="131">
        <v>156.4</v>
      </c>
      <c r="N279" s="131">
        <v>188.8</v>
      </c>
      <c r="O279" s="131">
        <v>146.6</v>
      </c>
      <c r="P279" s="131">
        <v>156.69999999999999</v>
      </c>
      <c r="Q279" s="131">
        <f t="shared" si="10"/>
        <v>4078.7000000000003</v>
      </c>
    </row>
    <row r="280" spans="1:17" x14ac:dyDescent="0.35">
      <c r="A280" s="129" t="s">
        <v>34</v>
      </c>
      <c r="B280" s="129">
        <v>2020</v>
      </c>
      <c r="C280" s="129" t="s">
        <v>45</v>
      </c>
      <c r="D280" s="129" t="str">
        <f t="shared" si="9"/>
        <v>November-2020</v>
      </c>
      <c r="E280" s="129" t="s">
        <v>91</v>
      </c>
      <c r="F280" s="130">
        <v>2095.6</v>
      </c>
      <c r="G280" s="130">
        <v>452.00000000000006</v>
      </c>
      <c r="H280" s="130">
        <v>307.2</v>
      </c>
      <c r="I280" s="130">
        <v>314.10000000000002</v>
      </c>
      <c r="J280" s="130">
        <v>143.6</v>
      </c>
      <c r="K280" s="130">
        <v>140.4</v>
      </c>
      <c r="L280" s="131">
        <v>148.4</v>
      </c>
      <c r="M280" s="131">
        <v>158.6</v>
      </c>
      <c r="N280" s="131">
        <v>184.8</v>
      </c>
      <c r="O280" s="131">
        <v>150.69999999999999</v>
      </c>
      <c r="P280" s="131">
        <v>158.4</v>
      </c>
      <c r="Q280" s="131">
        <f t="shared" si="10"/>
        <v>4095.3999999999996</v>
      </c>
    </row>
    <row r="281" spans="1:17" x14ac:dyDescent="0.35">
      <c r="A281" s="129" t="s">
        <v>30</v>
      </c>
      <c r="B281" s="129">
        <v>2020</v>
      </c>
      <c r="C281" s="129" t="s">
        <v>46</v>
      </c>
      <c r="D281" s="129" t="str">
        <f t="shared" si="9"/>
        <v>December-2020</v>
      </c>
      <c r="E281" s="129" t="s">
        <v>91</v>
      </c>
      <c r="F281" s="130">
        <v>2100.5</v>
      </c>
      <c r="G281" s="130">
        <v>464.90000000000003</v>
      </c>
      <c r="H281" s="130">
        <v>311.8</v>
      </c>
      <c r="I281" s="130">
        <v>318.2</v>
      </c>
      <c r="J281" s="130">
        <v>148.69999999999999</v>
      </c>
      <c r="K281" s="130">
        <v>146.4</v>
      </c>
      <c r="L281" s="131">
        <v>153.9</v>
      </c>
      <c r="M281" s="131">
        <v>162.9</v>
      </c>
      <c r="N281" s="131">
        <v>183.6</v>
      </c>
      <c r="O281" s="131">
        <v>155.19999999999999</v>
      </c>
      <c r="P281" s="131">
        <v>160.69999999999999</v>
      </c>
      <c r="Q281" s="131">
        <f t="shared" si="10"/>
        <v>4146.1000000000004</v>
      </c>
    </row>
    <row r="282" spans="1:17" x14ac:dyDescent="0.35">
      <c r="A282" s="129" t="s">
        <v>33</v>
      </c>
      <c r="B282" s="129">
        <v>2020</v>
      </c>
      <c r="C282" s="129" t="s">
        <v>46</v>
      </c>
      <c r="D282" s="129" t="str">
        <f t="shared" si="9"/>
        <v>December-2020</v>
      </c>
      <c r="E282" s="129" t="s">
        <v>91</v>
      </c>
      <c r="F282" s="130">
        <v>2125.4</v>
      </c>
      <c r="G282" s="130">
        <v>438.20000000000005</v>
      </c>
      <c r="H282" s="130">
        <v>303.89999999999998</v>
      </c>
      <c r="I282" s="130">
        <v>310.8</v>
      </c>
      <c r="J282" s="130">
        <v>137.9</v>
      </c>
      <c r="K282" s="130">
        <v>135.5</v>
      </c>
      <c r="L282" s="131">
        <v>144.30000000000001</v>
      </c>
      <c r="M282" s="131">
        <v>156.9</v>
      </c>
      <c r="N282" s="131">
        <v>190.2</v>
      </c>
      <c r="O282" s="131">
        <v>146.9</v>
      </c>
      <c r="P282" s="131">
        <v>156.9</v>
      </c>
      <c r="Q282" s="131">
        <f t="shared" si="10"/>
        <v>4090.0000000000009</v>
      </c>
    </row>
    <row r="283" spans="1:17" x14ac:dyDescent="0.35">
      <c r="A283" s="129" t="s">
        <v>34</v>
      </c>
      <c r="B283" s="129">
        <v>2020</v>
      </c>
      <c r="C283" s="129" t="s">
        <v>46</v>
      </c>
      <c r="D283" s="129" t="str">
        <f t="shared" si="9"/>
        <v>December-2020</v>
      </c>
      <c r="E283" s="129" t="s">
        <v>91</v>
      </c>
      <c r="F283" s="130">
        <v>2109.1</v>
      </c>
      <c r="G283" s="130">
        <v>454</v>
      </c>
      <c r="H283" s="130">
        <v>308.10000000000002</v>
      </c>
      <c r="I283" s="130">
        <v>315.39999999999998</v>
      </c>
      <c r="J283" s="130">
        <v>144.6</v>
      </c>
      <c r="K283" s="130">
        <v>140.69999999999999</v>
      </c>
      <c r="L283" s="131">
        <v>148.5</v>
      </c>
      <c r="M283" s="131">
        <v>159.4</v>
      </c>
      <c r="N283" s="131">
        <v>185.4</v>
      </c>
      <c r="O283" s="131">
        <v>151.19999999999999</v>
      </c>
      <c r="P283" s="131">
        <v>158.9</v>
      </c>
      <c r="Q283" s="131">
        <f t="shared" si="10"/>
        <v>4116.3999999999996</v>
      </c>
    </row>
    <row r="284" spans="1:17" x14ac:dyDescent="0.35">
      <c r="A284" s="129" t="s">
        <v>30</v>
      </c>
      <c r="B284" s="129">
        <v>2021</v>
      </c>
      <c r="C284" s="129" t="s">
        <v>31</v>
      </c>
      <c r="D284" s="129" t="str">
        <f t="shared" si="9"/>
        <v>January-2021</v>
      </c>
      <c r="E284" s="129" t="s">
        <v>91</v>
      </c>
      <c r="F284" s="130">
        <v>2065.6999999999998</v>
      </c>
      <c r="G284" s="130">
        <v>466.7</v>
      </c>
      <c r="H284" s="130">
        <v>311.60000000000002</v>
      </c>
      <c r="I284" s="130">
        <v>318.7</v>
      </c>
      <c r="J284" s="130">
        <v>150.9</v>
      </c>
      <c r="K284" s="130">
        <v>147.5</v>
      </c>
      <c r="L284" s="131">
        <v>155.1</v>
      </c>
      <c r="M284" s="131">
        <v>163.5</v>
      </c>
      <c r="N284" s="131">
        <v>184.6</v>
      </c>
      <c r="O284" s="131">
        <v>155.9</v>
      </c>
      <c r="P284" s="131">
        <v>158.5</v>
      </c>
      <c r="Q284" s="131">
        <f t="shared" si="10"/>
        <v>4120.1999999999989</v>
      </c>
    </row>
    <row r="285" spans="1:17" x14ac:dyDescent="0.35">
      <c r="A285" s="129" t="s">
        <v>33</v>
      </c>
      <c r="B285" s="129">
        <v>2021</v>
      </c>
      <c r="C285" s="129" t="s">
        <v>31</v>
      </c>
      <c r="D285" s="129" t="str">
        <f t="shared" si="9"/>
        <v>January-2021</v>
      </c>
      <c r="E285" s="129" t="s">
        <v>91</v>
      </c>
      <c r="F285" s="130">
        <v>2097</v>
      </c>
      <c r="G285" s="130">
        <v>440</v>
      </c>
      <c r="H285" s="130">
        <v>303.39999999999998</v>
      </c>
      <c r="I285" s="130">
        <v>311.79999999999995</v>
      </c>
      <c r="J285" s="130">
        <v>142.9</v>
      </c>
      <c r="K285" s="130">
        <v>136.9</v>
      </c>
      <c r="L285" s="131">
        <v>145.4</v>
      </c>
      <c r="M285" s="131">
        <v>156.1</v>
      </c>
      <c r="N285" s="131">
        <v>191.8</v>
      </c>
      <c r="O285" s="131">
        <v>147.6</v>
      </c>
      <c r="P285" s="131">
        <v>156</v>
      </c>
      <c r="Q285" s="131">
        <f t="shared" si="10"/>
        <v>4072.9</v>
      </c>
    </row>
    <row r="286" spans="1:17" x14ac:dyDescent="0.35">
      <c r="A286" s="129" t="s">
        <v>34</v>
      </c>
      <c r="B286" s="129">
        <v>2021</v>
      </c>
      <c r="C286" s="129" t="s">
        <v>31</v>
      </c>
      <c r="D286" s="129" t="str">
        <f t="shared" si="9"/>
        <v>January-2021</v>
      </c>
      <c r="E286" s="129" t="s">
        <v>91</v>
      </c>
      <c r="F286" s="130">
        <v>2076.5</v>
      </c>
      <c r="G286" s="130">
        <v>455.8</v>
      </c>
      <c r="H286" s="130">
        <v>307.7</v>
      </c>
      <c r="I286" s="130">
        <v>316.10000000000002</v>
      </c>
      <c r="J286" s="130">
        <v>147.9</v>
      </c>
      <c r="K286" s="130">
        <v>141.9</v>
      </c>
      <c r="L286" s="131">
        <v>149.6</v>
      </c>
      <c r="M286" s="131">
        <v>159.19999999999999</v>
      </c>
      <c r="N286" s="131">
        <v>186.5</v>
      </c>
      <c r="O286" s="131">
        <v>151.9</v>
      </c>
      <c r="P286" s="131">
        <v>157.30000000000001</v>
      </c>
      <c r="Q286" s="131">
        <f t="shared" si="10"/>
        <v>4093.1</v>
      </c>
    </row>
    <row r="287" spans="1:17" x14ac:dyDescent="0.35">
      <c r="A287" s="129" t="s">
        <v>30</v>
      </c>
      <c r="B287" s="129">
        <v>2021</v>
      </c>
      <c r="C287" s="129" t="s">
        <v>35</v>
      </c>
      <c r="D287" s="129" t="str">
        <f t="shared" si="9"/>
        <v>February-2021</v>
      </c>
      <c r="E287" s="129" t="s">
        <v>91</v>
      </c>
      <c r="F287" s="130">
        <v>2025.3</v>
      </c>
      <c r="G287" s="130">
        <v>471.4</v>
      </c>
      <c r="H287" s="130">
        <v>314.60000000000002</v>
      </c>
      <c r="I287" s="130">
        <v>319.5</v>
      </c>
      <c r="J287" s="130">
        <v>154.4</v>
      </c>
      <c r="K287" s="130">
        <v>150.19999999999999</v>
      </c>
      <c r="L287" s="131">
        <v>157</v>
      </c>
      <c r="M287" s="131">
        <v>163.6</v>
      </c>
      <c r="N287" s="131">
        <v>186.5</v>
      </c>
      <c r="O287" s="131">
        <v>157.19999999999999</v>
      </c>
      <c r="P287" s="131">
        <v>156.69999999999999</v>
      </c>
      <c r="Q287" s="131">
        <f t="shared" si="10"/>
        <v>4099.7</v>
      </c>
    </row>
    <row r="288" spans="1:17" x14ac:dyDescent="0.35">
      <c r="A288" s="129" t="s">
        <v>33</v>
      </c>
      <c r="B288" s="129">
        <v>2021</v>
      </c>
      <c r="C288" s="129" t="s">
        <v>35</v>
      </c>
      <c r="D288" s="129" t="str">
        <f t="shared" si="9"/>
        <v>February-2021</v>
      </c>
      <c r="E288" s="129" t="s">
        <v>91</v>
      </c>
      <c r="F288" s="130">
        <v>2066</v>
      </c>
      <c r="G288" s="130">
        <v>444.2</v>
      </c>
      <c r="H288" s="130">
        <v>306.3</v>
      </c>
      <c r="I288" s="130">
        <v>313</v>
      </c>
      <c r="J288" s="130">
        <v>149.1</v>
      </c>
      <c r="K288" s="130">
        <v>140.5</v>
      </c>
      <c r="L288" s="131">
        <v>147.30000000000001</v>
      </c>
      <c r="M288" s="131">
        <v>156.6</v>
      </c>
      <c r="N288" s="131">
        <v>193.3</v>
      </c>
      <c r="O288" s="131">
        <v>149.30000000000001</v>
      </c>
      <c r="P288" s="131">
        <v>156.5</v>
      </c>
      <c r="Q288" s="131">
        <f t="shared" si="10"/>
        <v>4065.6000000000004</v>
      </c>
    </row>
    <row r="289" spans="1:17" x14ac:dyDescent="0.35">
      <c r="A289" s="129" t="s">
        <v>34</v>
      </c>
      <c r="B289" s="129">
        <v>2021</v>
      </c>
      <c r="C289" s="129" t="s">
        <v>35</v>
      </c>
      <c r="D289" s="129" t="str">
        <f t="shared" si="9"/>
        <v>February-2021</v>
      </c>
      <c r="E289" s="129" t="s">
        <v>91</v>
      </c>
      <c r="F289" s="130">
        <v>2039.3000000000002</v>
      </c>
      <c r="G289" s="130">
        <v>460.40000000000003</v>
      </c>
      <c r="H289" s="130">
        <v>310.70000000000005</v>
      </c>
      <c r="I289" s="130">
        <v>317.10000000000002</v>
      </c>
      <c r="J289" s="130">
        <v>152.4</v>
      </c>
      <c r="K289" s="130">
        <v>145.1</v>
      </c>
      <c r="L289" s="131">
        <v>151.5</v>
      </c>
      <c r="M289" s="131">
        <v>159.5</v>
      </c>
      <c r="N289" s="131">
        <v>188.3</v>
      </c>
      <c r="O289" s="131">
        <v>153.4</v>
      </c>
      <c r="P289" s="131">
        <v>156.6</v>
      </c>
      <c r="Q289" s="131">
        <f t="shared" si="10"/>
        <v>4077.7000000000007</v>
      </c>
    </row>
    <row r="290" spans="1:17" x14ac:dyDescent="0.35">
      <c r="A290" s="129" t="s">
        <v>30</v>
      </c>
      <c r="B290" s="129">
        <v>2021</v>
      </c>
      <c r="C290" s="129" t="s">
        <v>36</v>
      </c>
      <c r="D290" s="129" t="str">
        <f t="shared" si="9"/>
        <v>March-2021</v>
      </c>
      <c r="E290" s="129" t="s">
        <v>91</v>
      </c>
      <c r="F290" s="130">
        <v>2025.7</v>
      </c>
      <c r="G290" s="130">
        <v>472.9</v>
      </c>
      <c r="H290" s="130">
        <v>314.70000000000005</v>
      </c>
      <c r="I290" s="130">
        <v>317.7</v>
      </c>
      <c r="J290" s="130">
        <v>156</v>
      </c>
      <c r="K290" s="130">
        <v>151.30000000000001</v>
      </c>
      <c r="L290" s="131">
        <v>157.80000000000001</v>
      </c>
      <c r="M290" s="131">
        <v>163.80000000000001</v>
      </c>
      <c r="N290" s="131">
        <v>186.1</v>
      </c>
      <c r="O290" s="131">
        <v>157.30000000000001</v>
      </c>
      <c r="P290" s="131">
        <v>156.69999999999999</v>
      </c>
      <c r="Q290" s="131">
        <f t="shared" si="10"/>
        <v>4103.3</v>
      </c>
    </row>
    <row r="291" spans="1:17" x14ac:dyDescent="0.35">
      <c r="A291" s="129" t="s">
        <v>33</v>
      </c>
      <c r="B291" s="129">
        <v>2021</v>
      </c>
      <c r="C291" s="129" t="s">
        <v>36</v>
      </c>
      <c r="D291" s="129" t="str">
        <f t="shared" si="9"/>
        <v>March-2021</v>
      </c>
      <c r="E291" s="129" t="s">
        <v>91</v>
      </c>
      <c r="F291" s="130">
        <v>2064.4999999999995</v>
      </c>
      <c r="G291" s="130">
        <v>446.4</v>
      </c>
      <c r="H291" s="130">
        <v>307.10000000000002</v>
      </c>
      <c r="I291" s="130">
        <v>311.8</v>
      </c>
      <c r="J291" s="130">
        <v>154.80000000000001</v>
      </c>
      <c r="K291" s="130">
        <v>141.69999999999999</v>
      </c>
      <c r="L291" s="131">
        <v>148.6</v>
      </c>
      <c r="M291" s="131">
        <v>157.6</v>
      </c>
      <c r="N291" s="131">
        <v>193.5</v>
      </c>
      <c r="O291" s="131">
        <v>150</v>
      </c>
      <c r="P291" s="131">
        <v>156.9</v>
      </c>
      <c r="Q291" s="131">
        <f t="shared" si="10"/>
        <v>4075.9999999999995</v>
      </c>
    </row>
    <row r="292" spans="1:17" x14ac:dyDescent="0.35">
      <c r="A292" s="129" t="s">
        <v>34</v>
      </c>
      <c r="B292" s="129">
        <v>2021</v>
      </c>
      <c r="C292" s="129" t="s">
        <v>36</v>
      </c>
      <c r="D292" s="129" t="str">
        <f t="shared" si="9"/>
        <v>March-2021</v>
      </c>
      <c r="E292" s="129" t="s">
        <v>91</v>
      </c>
      <c r="F292" s="130">
        <v>2039.3999999999999</v>
      </c>
      <c r="G292" s="130">
        <v>462.1</v>
      </c>
      <c r="H292" s="130">
        <v>311.10000000000002</v>
      </c>
      <c r="I292" s="130">
        <v>315.5</v>
      </c>
      <c r="J292" s="130">
        <v>155.5</v>
      </c>
      <c r="K292" s="130">
        <v>146.19999999999999</v>
      </c>
      <c r="L292" s="131">
        <v>152.6</v>
      </c>
      <c r="M292" s="131">
        <v>160.19999999999999</v>
      </c>
      <c r="N292" s="131">
        <v>188.1</v>
      </c>
      <c r="O292" s="131">
        <v>153.80000000000001</v>
      </c>
      <c r="P292" s="131">
        <v>156.80000000000001</v>
      </c>
      <c r="Q292" s="131">
        <f t="shared" si="10"/>
        <v>4084.4999999999995</v>
      </c>
    </row>
    <row r="293" spans="1:17" x14ac:dyDescent="0.35">
      <c r="A293" s="129" t="s">
        <v>30</v>
      </c>
      <c r="B293" s="129">
        <v>2021</v>
      </c>
      <c r="C293" s="129" t="s">
        <v>37</v>
      </c>
      <c r="D293" s="129" t="str">
        <f t="shared" si="9"/>
        <v>April-2021</v>
      </c>
      <c r="E293" s="129" t="s">
        <v>90</v>
      </c>
      <c r="F293" s="130">
        <v>2049.5</v>
      </c>
      <c r="G293" s="130">
        <v>475.69999999999993</v>
      </c>
      <c r="H293" s="130">
        <v>316.89999999999998</v>
      </c>
      <c r="I293" s="130">
        <v>319.89999999999998</v>
      </c>
      <c r="J293" s="130">
        <v>156</v>
      </c>
      <c r="K293" s="130">
        <v>151.69999999999999</v>
      </c>
      <c r="L293" s="131">
        <v>158.6</v>
      </c>
      <c r="M293" s="131">
        <v>164.1</v>
      </c>
      <c r="N293" s="131">
        <v>186.8</v>
      </c>
      <c r="O293" s="131">
        <v>158</v>
      </c>
      <c r="P293" s="131">
        <v>157.6</v>
      </c>
      <c r="Q293" s="131">
        <f t="shared" si="10"/>
        <v>4137.2</v>
      </c>
    </row>
    <row r="294" spans="1:17" x14ac:dyDescent="0.35">
      <c r="A294" s="129" t="s">
        <v>33</v>
      </c>
      <c r="B294" s="129">
        <v>2021</v>
      </c>
      <c r="C294" s="129" t="s">
        <v>37</v>
      </c>
      <c r="D294" s="129" t="str">
        <f t="shared" si="9"/>
        <v>April-2021</v>
      </c>
      <c r="E294" s="129" t="s">
        <v>90</v>
      </c>
      <c r="F294" s="130">
        <v>2089.6</v>
      </c>
      <c r="G294" s="130">
        <v>448.6</v>
      </c>
      <c r="H294" s="130">
        <v>309</v>
      </c>
      <c r="I294" s="130">
        <v>314.10000000000002</v>
      </c>
      <c r="J294" s="130">
        <v>154.9</v>
      </c>
      <c r="K294" s="130">
        <v>142.1</v>
      </c>
      <c r="L294" s="131">
        <v>149.1</v>
      </c>
      <c r="M294" s="131">
        <v>157.6</v>
      </c>
      <c r="N294" s="131">
        <v>194.4</v>
      </c>
      <c r="O294" s="131">
        <v>150.5</v>
      </c>
      <c r="P294" s="131">
        <v>158</v>
      </c>
      <c r="Q294" s="131">
        <f t="shared" si="10"/>
        <v>4109.8999999999996</v>
      </c>
    </row>
    <row r="295" spans="1:17" x14ac:dyDescent="0.35">
      <c r="A295" s="129" t="s">
        <v>34</v>
      </c>
      <c r="B295" s="129">
        <v>2021</v>
      </c>
      <c r="C295" s="129" t="s">
        <v>37</v>
      </c>
      <c r="D295" s="129" t="str">
        <f t="shared" si="9"/>
        <v>April-2021</v>
      </c>
      <c r="E295" s="129" t="s">
        <v>90</v>
      </c>
      <c r="F295" s="130">
        <v>2064.1</v>
      </c>
      <c r="G295" s="130">
        <v>464.6</v>
      </c>
      <c r="H295" s="130">
        <v>313.20000000000005</v>
      </c>
      <c r="I295" s="130">
        <v>317.70000000000005</v>
      </c>
      <c r="J295" s="130">
        <v>155.6</v>
      </c>
      <c r="K295" s="130">
        <v>146.6</v>
      </c>
      <c r="L295" s="131">
        <v>153.19999999999999</v>
      </c>
      <c r="M295" s="131">
        <v>160.30000000000001</v>
      </c>
      <c r="N295" s="131">
        <v>188.8</v>
      </c>
      <c r="O295" s="131">
        <v>154.4</v>
      </c>
      <c r="P295" s="131">
        <v>157.80000000000001</v>
      </c>
      <c r="Q295" s="131">
        <f t="shared" si="10"/>
        <v>4118.4999999999991</v>
      </c>
    </row>
    <row r="296" spans="1:17" x14ac:dyDescent="0.35">
      <c r="A296" s="129" t="s">
        <v>30</v>
      </c>
      <c r="B296" s="129">
        <v>2021</v>
      </c>
      <c r="C296" s="129" t="s">
        <v>38</v>
      </c>
      <c r="D296" s="129" t="str">
        <f t="shared" si="9"/>
        <v>May-2021</v>
      </c>
      <c r="E296" s="129" t="s">
        <v>90</v>
      </c>
      <c r="F296" s="130">
        <v>2095.2999999999997</v>
      </c>
      <c r="G296" s="130">
        <v>490.4</v>
      </c>
      <c r="H296" s="130">
        <v>320.39999999999998</v>
      </c>
      <c r="I296" s="130">
        <v>328.4</v>
      </c>
      <c r="J296" s="130">
        <v>161.69999999999999</v>
      </c>
      <c r="K296" s="130">
        <v>153.19999999999999</v>
      </c>
      <c r="L296" s="131">
        <v>160</v>
      </c>
      <c r="M296" s="131">
        <v>167.6</v>
      </c>
      <c r="N296" s="131">
        <v>189.6</v>
      </c>
      <c r="O296" s="131">
        <v>161.1</v>
      </c>
      <c r="P296" s="131">
        <v>161.1</v>
      </c>
      <c r="Q296" s="131">
        <f t="shared" si="10"/>
        <v>4227.7</v>
      </c>
    </row>
    <row r="297" spans="1:17" x14ac:dyDescent="0.35">
      <c r="A297" s="129" t="s">
        <v>33</v>
      </c>
      <c r="B297" s="129">
        <v>2021</v>
      </c>
      <c r="C297" s="129" t="s">
        <v>38</v>
      </c>
      <c r="D297" s="129" t="str">
        <f t="shared" si="9"/>
        <v>May-2021</v>
      </c>
      <c r="E297" s="129" t="s">
        <v>90</v>
      </c>
      <c r="F297" s="130">
        <v>2124.7000000000003</v>
      </c>
      <c r="G297" s="130">
        <v>450.79999999999995</v>
      </c>
      <c r="H297" s="130">
        <v>311.7</v>
      </c>
      <c r="I297" s="130">
        <v>317.89999999999998</v>
      </c>
      <c r="J297" s="130">
        <v>155.5</v>
      </c>
      <c r="K297" s="130">
        <v>145</v>
      </c>
      <c r="L297" s="131">
        <v>152.6</v>
      </c>
      <c r="M297" s="131">
        <v>156.6</v>
      </c>
      <c r="N297" s="131">
        <v>198.2</v>
      </c>
      <c r="O297" s="131">
        <v>152.30000000000001</v>
      </c>
      <c r="P297" s="131">
        <v>159.5</v>
      </c>
      <c r="Q297" s="131">
        <f t="shared" si="10"/>
        <v>4165.2999999999993</v>
      </c>
    </row>
    <row r="298" spans="1:17" x14ac:dyDescent="0.35">
      <c r="A298" s="129" t="s">
        <v>34</v>
      </c>
      <c r="B298" s="129">
        <v>2021</v>
      </c>
      <c r="C298" s="129" t="s">
        <v>38</v>
      </c>
      <c r="D298" s="129" t="str">
        <f t="shared" si="9"/>
        <v>May-2021</v>
      </c>
      <c r="E298" s="129" t="s">
        <v>90</v>
      </c>
      <c r="F298" s="130">
        <v>2105.7000000000003</v>
      </c>
      <c r="G298" s="130">
        <v>474.29999999999995</v>
      </c>
      <c r="H298" s="130">
        <v>316.29999999999995</v>
      </c>
      <c r="I298" s="130">
        <v>324.39999999999998</v>
      </c>
      <c r="J298" s="130">
        <v>159.4</v>
      </c>
      <c r="K298" s="130">
        <v>148.9</v>
      </c>
      <c r="L298" s="131">
        <v>155.80000000000001</v>
      </c>
      <c r="M298" s="131">
        <v>161.19999999999999</v>
      </c>
      <c r="N298" s="131">
        <v>191.9</v>
      </c>
      <c r="O298" s="131">
        <v>156.80000000000001</v>
      </c>
      <c r="P298" s="131">
        <v>160.4</v>
      </c>
      <c r="Q298" s="131">
        <f t="shared" si="10"/>
        <v>4194.7000000000007</v>
      </c>
    </row>
    <row r="299" spans="1:17" x14ac:dyDescent="0.35">
      <c r="A299" s="129" t="s">
        <v>30</v>
      </c>
      <c r="B299" s="129">
        <v>2021</v>
      </c>
      <c r="C299" s="129" t="s">
        <v>39</v>
      </c>
      <c r="D299" s="129" t="str">
        <f t="shared" si="9"/>
        <v>June-2021</v>
      </c>
      <c r="E299" s="129" t="s">
        <v>90</v>
      </c>
      <c r="F299" s="130">
        <v>2122.6</v>
      </c>
      <c r="G299" s="130">
        <v>489.80000000000007</v>
      </c>
      <c r="H299" s="130">
        <v>319.7</v>
      </c>
      <c r="I299" s="130">
        <v>329.1</v>
      </c>
      <c r="J299" s="130">
        <v>162.1</v>
      </c>
      <c r="K299" s="130">
        <v>154.19999999999999</v>
      </c>
      <c r="L299" s="131">
        <v>160.4</v>
      </c>
      <c r="M299" s="131">
        <v>166.8</v>
      </c>
      <c r="N299" s="131">
        <v>189.1</v>
      </c>
      <c r="O299" s="131">
        <v>161.5</v>
      </c>
      <c r="P299" s="131">
        <v>162.1</v>
      </c>
      <c r="Q299" s="131">
        <f t="shared" si="10"/>
        <v>4255.2999999999993</v>
      </c>
    </row>
    <row r="300" spans="1:17" x14ac:dyDescent="0.35">
      <c r="A300" s="129" t="s">
        <v>33</v>
      </c>
      <c r="B300" s="129">
        <v>2021</v>
      </c>
      <c r="C300" s="129" t="s">
        <v>39</v>
      </c>
      <c r="D300" s="129" t="str">
        <f t="shared" si="9"/>
        <v>June-2021</v>
      </c>
      <c r="E300" s="129" t="s">
        <v>90</v>
      </c>
      <c r="F300" s="130">
        <v>2154.1999999999998</v>
      </c>
      <c r="G300" s="130">
        <v>452.6</v>
      </c>
      <c r="H300" s="130">
        <v>310.3</v>
      </c>
      <c r="I300" s="130">
        <v>318.8</v>
      </c>
      <c r="J300" s="130">
        <v>156.1</v>
      </c>
      <c r="K300" s="130">
        <v>147.5</v>
      </c>
      <c r="L300" s="131">
        <v>150.69999999999999</v>
      </c>
      <c r="M300" s="131">
        <v>158.1</v>
      </c>
      <c r="N300" s="131">
        <v>195.6</v>
      </c>
      <c r="O300" s="131">
        <v>153.4</v>
      </c>
      <c r="P300" s="131">
        <v>160.4</v>
      </c>
      <c r="Q300" s="131">
        <f t="shared" si="10"/>
        <v>4197.2999999999993</v>
      </c>
    </row>
    <row r="301" spans="1:17" x14ac:dyDescent="0.35">
      <c r="A301" s="129" t="s">
        <v>34</v>
      </c>
      <c r="B301" s="129">
        <v>2021</v>
      </c>
      <c r="C301" s="129" t="s">
        <v>39</v>
      </c>
      <c r="D301" s="129" t="str">
        <f t="shared" si="9"/>
        <v>June-2021</v>
      </c>
      <c r="E301" s="129" t="s">
        <v>90</v>
      </c>
      <c r="F301" s="130">
        <v>2133.9</v>
      </c>
      <c r="G301" s="130">
        <v>474.7</v>
      </c>
      <c r="H301" s="130">
        <v>315.3</v>
      </c>
      <c r="I301" s="130">
        <v>325.10000000000002</v>
      </c>
      <c r="J301" s="130">
        <v>159.80000000000001</v>
      </c>
      <c r="K301" s="130">
        <v>150.69999999999999</v>
      </c>
      <c r="L301" s="131">
        <v>154.9</v>
      </c>
      <c r="M301" s="131">
        <v>161.69999999999999</v>
      </c>
      <c r="N301" s="131">
        <v>190.8</v>
      </c>
      <c r="O301" s="131">
        <v>157.6</v>
      </c>
      <c r="P301" s="131">
        <v>161.30000000000001</v>
      </c>
      <c r="Q301" s="131">
        <f t="shared" si="10"/>
        <v>4224.5</v>
      </c>
    </row>
    <row r="302" spans="1:17" x14ac:dyDescent="0.35">
      <c r="A302" s="129" t="s">
        <v>30</v>
      </c>
      <c r="B302" s="129">
        <v>2021</v>
      </c>
      <c r="C302" s="129" t="s">
        <v>40</v>
      </c>
      <c r="D302" s="129" t="str">
        <f t="shared" si="9"/>
        <v>July-2021</v>
      </c>
      <c r="E302" s="129" t="s">
        <v>90</v>
      </c>
      <c r="F302" s="130">
        <v>2132.4</v>
      </c>
      <c r="G302" s="130">
        <v>492.40000000000003</v>
      </c>
      <c r="H302" s="130">
        <v>321.8</v>
      </c>
      <c r="I302" s="130">
        <v>330.8</v>
      </c>
      <c r="J302" s="130">
        <v>162.5</v>
      </c>
      <c r="K302" s="130">
        <v>157.1</v>
      </c>
      <c r="L302" s="131">
        <v>160.69999999999999</v>
      </c>
      <c r="M302" s="131">
        <v>167.2</v>
      </c>
      <c r="N302" s="131">
        <v>189.7</v>
      </c>
      <c r="O302" s="131">
        <v>162.80000000000001</v>
      </c>
      <c r="P302" s="131">
        <v>163.19999999999999</v>
      </c>
      <c r="Q302" s="131">
        <f t="shared" si="10"/>
        <v>4277.4000000000005</v>
      </c>
    </row>
    <row r="303" spans="1:17" x14ac:dyDescent="0.35">
      <c r="A303" s="129" t="s">
        <v>33</v>
      </c>
      <c r="B303" s="129">
        <v>2021</v>
      </c>
      <c r="C303" s="129" t="s">
        <v>40</v>
      </c>
      <c r="D303" s="129" t="str">
        <f t="shared" si="9"/>
        <v>July-2021</v>
      </c>
      <c r="E303" s="129" t="s">
        <v>90</v>
      </c>
      <c r="F303" s="130">
        <v>2171.8000000000002</v>
      </c>
      <c r="G303" s="130">
        <v>455.3</v>
      </c>
      <c r="H303" s="130">
        <v>312.2</v>
      </c>
      <c r="I303" s="130">
        <v>321.10000000000002</v>
      </c>
      <c r="J303" s="130">
        <v>157.69999999999999</v>
      </c>
      <c r="K303" s="130">
        <v>149.5</v>
      </c>
      <c r="L303" s="131">
        <v>151.19999999999999</v>
      </c>
      <c r="M303" s="131">
        <v>160.30000000000001</v>
      </c>
      <c r="N303" s="131">
        <v>195.5</v>
      </c>
      <c r="O303" s="131">
        <v>155</v>
      </c>
      <c r="P303" s="131">
        <v>161.80000000000001</v>
      </c>
      <c r="Q303" s="131">
        <f t="shared" si="10"/>
        <v>4229.6000000000004</v>
      </c>
    </row>
    <row r="304" spans="1:17" x14ac:dyDescent="0.35">
      <c r="A304" s="129" t="s">
        <v>34</v>
      </c>
      <c r="B304" s="129">
        <v>2021</v>
      </c>
      <c r="C304" s="129" t="s">
        <v>40</v>
      </c>
      <c r="D304" s="129" t="str">
        <f t="shared" si="9"/>
        <v>July-2021</v>
      </c>
      <c r="E304" s="129" t="s">
        <v>90</v>
      </c>
      <c r="F304" s="130">
        <v>2147</v>
      </c>
      <c r="G304" s="130">
        <v>477.29999999999995</v>
      </c>
      <c r="H304" s="130">
        <v>317.3</v>
      </c>
      <c r="I304" s="130">
        <v>327.10000000000002</v>
      </c>
      <c r="J304" s="130">
        <v>160.69999999999999</v>
      </c>
      <c r="K304" s="130">
        <v>153.1</v>
      </c>
      <c r="L304" s="131">
        <v>155.30000000000001</v>
      </c>
      <c r="M304" s="131">
        <v>163.19999999999999</v>
      </c>
      <c r="N304" s="131">
        <v>191.2</v>
      </c>
      <c r="O304" s="131">
        <v>159</v>
      </c>
      <c r="P304" s="131">
        <v>162.5</v>
      </c>
      <c r="Q304" s="131">
        <f t="shared" si="10"/>
        <v>4251.2</v>
      </c>
    </row>
    <row r="305" spans="1:17" x14ac:dyDescent="0.35">
      <c r="A305" s="129" t="s">
        <v>30</v>
      </c>
      <c r="B305" s="129">
        <v>2021</v>
      </c>
      <c r="C305" s="129" t="s">
        <v>41</v>
      </c>
      <c r="D305" s="129" t="str">
        <f t="shared" si="9"/>
        <v>August-2021</v>
      </c>
      <c r="E305" s="129" t="s">
        <v>90</v>
      </c>
      <c r="F305" s="130">
        <v>2130.8000000000002</v>
      </c>
      <c r="G305" s="130">
        <v>495.90000000000003</v>
      </c>
      <c r="H305" s="130">
        <v>323</v>
      </c>
      <c r="I305" s="130">
        <v>331.4</v>
      </c>
      <c r="J305" s="130">
        <v>163.1</v>
      </c>
      <c r="K305" s="130">
        <v>157.69999999999999</v>
      </c>
      <c r="L305" s="131">
        <v>161.1</v>
      </c>
      <c r="M305" s="131">
        <v>167.5</v>
      </c>
      <c r="N305" s="131">
        <v>190.2</v>
      </c>
      <c r="O305" s="131">
        <v>163.30000000000001</v>
      </c>
      <c r="P305" s="131">
        <v>163.6</v>
      </c>
      <c r="Q305" s="131">
        <f t="shared" si="10"/>
        <v>4284</v>
      </c>
    </row>
    <row r="306" spans="1:17" x14ac:dyDescent="0.35">
      <c r="A306" s="129" t="s">
        <v>33</v>
      </c>
      <c r="B306" s="129">
        <v>2021</v>
      </c>
      <c r="C306" s="129" t="s">
        <v>41</v>
      </c>
      <c r="D306" s="129" t="str">
        <f t="shared" si="9"/>
        <v>August-2021</v>
      </c>
      <c r="E306" s="129" t="s">
        <v>90</v>
      </c>
      <c r="F306" s="130">
        <v>2157.9</v>
      </c>
      <c r="G306" s="130">
        <v>460.7</v>
      </c>
      <c r="H306" s="130">
        <v>315.29999999999995</v>
      </c>
      <c r="I306" s="130">
        <v>322.39999999999998</v>
      </c>
      <c r="J306" s="130">
        <v>160.69999999999999</v>
      </c>
      <c r="K306" s="130">
        <v>150.4</v>
      </c>
      <c r="L306" s="131">
        <v>153.69999999999999</v>
      </c>
      <c r="M306" s="131">
        <v>160.4</v>
      </c>
      <c r="N306" s="131">
        <v>196.5</v>
      </c>
      <c r="O306" s="131">
        <v>156</v>
      </c>
      <c r="P306" s="131">
        <v>162.30000000000001</v>
      </c>
      <c r="Q306" s="131">
        <f t="shared" si="10"/>
        <v>4234</v>
      </c>
    </row>
    <row r="307" spans="1:17" x14ac:dyDescent="0.35">
      <c r="A307" s="129" t="s">
        <v>34</v>
      </c>
      <c r="B307" s="129">
        <v>2021</v>
      </c>
      <c r="C307" s="129" t="s">
        <v>41</v>
      </c>
      <c r="D307" s="129" t="str">
        <f t="shared" si="9"/>
        <v>August-2021</v>
      </c>
      <c r="E307" s="129" t="s">
        <v>90</v>
      </c>
      <c r="F307" s="130">
        <v>2142</v>
      </c>
      <c r="G307" s="130">
        <v>483</v>
      </c>
      <c r="H307" s="130">
        <v>319.60000000000002</v>
      </c>
      <c r="I307" s="130">
        <v>328.4</v>
      </c>
      <c r="J307" s="130">
        <v>162.6</v>
      </c>
      <c r="K307" s="130">
        <v>154</v>
      </c>
      <c r="L307" s="131">
        <v>157.6</v>
      </c>
      <c r="M307" s="131">
        <v>163.80000000000001</v>
      </c>
      <c r="N307" s="131">
        <v>192.1</v>
      </c>
      <c r="O307" s="131">
        <v>160</v>
      </c>
      <c r="P307" s="131">
        <v>163.19999999999999</v>
      </c>
      <c r="Q307" s="131">
        <f t="shared" si="10"/>
        <v>4263.1000000000004</v>
      </c>
    </row>
    <row r="308" spans="1:17" x14ac:dyDescent="0.35">
      <c r="A308" s="129" t="s">
        <v>30</v>
      </c>
      <c r="B308" s="129">
        <v>2021</v>
      </c>
      <c r="C308" s="129" t="s">
        <v>42</v>
      </c>
      <c r="D308" s="129" t="str">
        <f t="shared" si="9"/>
        <v>September-2021</v>
      </c>
      <c r="E308" s="129" t="s">
        <v>90</v>
      </c>
      <c r="F308" s="130">
        <v>2133.6</v>
      </c>
      <c r="G308" s="130">
        <v>498.4</v>
      </c>
      <c r="H308" s="130">
        <v>323.39999999999998</v>
      </c>
      <c r="I308" s="130">
        <v>332.1</v>
      </c>
      <c r="J308" s="130">
        <v>163.69999999999999</v>
      </c>
      <c r="K308" s="130">
        <v>157.80000000000001</v>
      </c>
      <c r="L308" s="131">
        <v>162.69999999999999</v>
      </c>
      <c r="M308" s="131">
        <v>168.5</v>
      </c>
      <c r="N308" s="131">
        <v>190.5</v>
      </c>
      <c r="O308" s="131">
        <v>163.80000000000001</v>
      </c>
      <c r="P308" s="131">
        <v>164</v>
      </c>
      <c r="Q308" s="131">
        <f t="shared" si="10"/>
        <v>4294.5</v>
      </c>
    </row>
    <row r="309" spans="1:17" x14ac:dyDescent="0.35">
      <c r="A309" s="129" t="s">
        <v>33</v>
      </c>
      <c r="B309" s="129">
        <v>2021</v>
      </c>
      <c r="C309" s="129" t="s">
        <v>42</v>
      </c>
      <c r="D309" s="129" t="str">
        <f t="shared" si="9"/>
        <v>September-2021</v>
      </c>
      <c r="E309" s="129" t="s">
        <v>90</v>
      </c>
      <c r="F309" s="130">
        <v>2157.9</v>
      </c>
      <c r="G309" s="130">
        <v>460.79999999999995</v>
      </c>
      <c r="H309" s="130">
        <v>315.39999999999998</v>
      </c>
      <c r="I309" s="130">
        <v>322.39999999999998</v>
      </c>
      <c r="J309" s="130">
        <v>160.80000000000001</v>
      </c>
      <c r="K309" s="130">
        <v>150.5</v>
      </c>
      <c r="L309" s="131">
        <v>153.9</v>
      </c>
      <c r="M309" s="131">
        <v>160.30000000000001</v>
      </c>
      <c r="N309" s="131">
        <v>196.5</v>
      </c>
      <c r="O309" s="131">
        <v>156</v>
      </c>
      <c r="P309" s="131">
        <v>162.30000000000001</v>
      </c>
      <c r="Q309" s="131">
        <f t="shared" si="10"/>
        <v>4234.5</v>
      </c>
    </row>
    <row r="310" spans="1:17" x14ac:dyDescent="0.35">
      <c r="A310" s="129" t="s">
        <v>34</v>
      </c>
      <c r="B310" s="129">
        <v>2021</v>
      </c>
      <c r="C310" s="129" t="s">
        <v>42</v>
      </c>
      <c r="D310" s="129" t="str">
        <f t="shared" si="9"/>
        <v>September-2021</v>
      </c>
      <c r="E310" s="129" t="s">
        <v>90</v>
      </c>
      <c r="F310" s="130">
        <v>2142</v>
      </c>
      <c r="G310" s="130">
        <v>483.2</v>
      </c>
      <c r="H310" s="130">
        <v>319.60000000000002</v>
      </c>
      <c r="I310" s="130">
        <v>328.4</v>
      </c>
      <c r="J310" s="130">
        <v>162.6</v>
      </c>
      <c r="K310" s="130">
        <v>154</v>
      </c>
      <c r="L310" s="131">
        <v>157.69999999999999</v>
      </c>
      <c r="M310" s="131">
        <v>163.69999999999999</v>
      </c>
      <c r="N310" s="131">
        <v>192.1</v>
      </c>
      <c r="O310" s="131">
        <v>160</v>
      </c>
      <c r="P310" s="131">
        <v>163.19999999999999</v>
      </c>
      <c r="Q310" s="131">
        <f t="shared" si="10"/>
        <v>4263.2999999999993</v>
      </c>
    </row>
    <row r="311" spans="1:17" x14ac:dyDescent="0.35">
      <c r="A311" s="129" t="s">
        <v>30</v>
      </c>
      <c r="B311" s="129">
        <v>2021</v>
      </c>
      <c r="C311" s="129" t="s">
        <v>43</v>
      </c>
      <c r="D311" s="129" t="str">
        <f t="shared" si="9"/>
        <v>October-2021</v>
      </c>
      <c r="E311" s="129" t="s">
        <v>90</v>
      </c>
      <c r="F311" s="130">
        <v>2164.1999999999998</v>
      </c>
      <c r="G311" s="130">
        <v>502.00000000000006</v>
      </c>
      <c r="H311" s="130">
        <v>325.60000000000002</v>
      </c>
      <c r="I311" s="130">
        <v>333.6</v>
      </c>
      <c r="J311" s="130">
        <v>165.5</v>
      </c>
      <c r="K311" s="130">
        <v>159.5</v>
      </c>
      <c r="L311" s="131">
        <v>163.19999999999999</v>
      </c>
      <c r="M311" s="131">
        <v>169</v>
      </c>
      <c r="N311" s="131">
        <v>191.2</v>
      </c>
      <c r="O311" s="131">
        <v>164.7</v>
      </c>
      <c r="P311" s="131">
        <v>166.3</v>
      </c>
      <c r="Q311" s="131">
        <f t="shared" si="10"/>
        <v>4338.4999999999991</v>
      </c>
    </row>
    <row r="312" spans="1:17" x14ac:dyDescent="0.35">
      <c r="A312" s="129" t="s">
        <v>33</v>
      </c>
      <c r="B312" s="129">
        <v>2021</v>
      </c>
      <c r="C312" s="129" t="s">
        <v>43</v>
      </c>
      <c r="D312" s="129" t="str">
        <f t="shared" si="9"/>
        <v>October-2021</v>
      </c>
      <c r="E312" s="129" t="s">
        <v>90</v>
      </c>
      <c r="F312" s="130">
        <v>2198.4000000000005</v>
      </c>
      <c r="G312" s="130">
        <v>463.50000000000006</v>
      </c>
      <c r="H312" s="130">
        <v>317.89999999999998</v>
      </c>
      <c r="I312" s="130">
        <v>323.8</v>
      </c>
      <c r="J312" s="130">
        <v>162.19999999999999</v>
      </c>
      <c r="K312" s="130">
        <v>152.19999999999999</v>
      </c>
      <c r="L312" s="131">
        <v>155.1</v>
      </c>
      <c r="M312" s="131">
        <v>160.30000000000001</v>
      </c>
      <c r="N312" s="131">
        <v>197</v>
      </c>
      <c r="O312" s="131">
        <v>157</v>
      </c>
      <c r="P312" s="131">
        <v>164.6</v>
      </c>
      <c r="Q312" s="131">
        <f t="shared" si="10"/>
        <v>4287.4000000000005</v>
      </c>
    </row>
    <row r="313" spans="1:17" x14ac:dyDescent="0.35">
      <c r="A313" s="129" t="s">
        <v>34</v>
      </c>
      <c r="B313" s="129">
        <v>2021</v>
      </c>
      <c r="C313" s="129" t="s">
        <v>43</v>
      </c>
      <c r="D313" s="129" t="str">
        <f t="shared" si="9"/>
        <v>October-2021</v>
      </c>
      <c r="E313" s="129" t="s">
        <v>90</v>
      </c>
      <c r="F313" s="130">
        <v>2175.5</v>
      </c>
      <c r="G313" s="130">
        <v>486.3</v>
      </c>
      <c r="H313" s="130">
        <v>322</v>
      </c>
      <c r="I313" s="130">
        <v>329.9</v>
      </c>
      <c r="J313" s="130">
        <v>164.2</v>
      </c>
      <c r="K313" s="130">
        <v>155.69999999999999</v>
      </c>
      <c r="L313" s="131">
        <v>158.6</v>
      </c>
      <c r="M313" s="131">
        <v>163.9</v>
      </c>
      <c r="N313" s="131">
        <v>192.7</v>
      </c>
      <c r="O313" s="131">
        <v>161</v>
      </c>
      <c r="P313" s="131">
        <v>165.5</v>
      </c>
      <c r="Q313" s="131">
        <f t="shared" si="10"/>
        <v>4309.8</v>
      </c>
    </row>
    <row r="314" spans="1:17" x14ac:dyDescent="0.35">
      <c r="A314" s="129" t="s">
        <v>30</v>
      </c>
      <c r="B314" s="129">
        <v>2021</v>
      </c>
      <c r="C314" s="129" t="s">
        <v>45</v>
      </c>
      <c r="D314" s="129" t="str">
        <f t="shared" si="9"/>
        <v>November-2021</v>
      </c>
      <c r="E314" s="129" t="s">
        <v>90</v>
      </c>
      <c r="F314" s="130">
        <v>2182</v>
      </c>
      <c r="G314" s="130">
        <v>506.2</v>
      </c>
      <c r="H314" s="130">
        <v>327.10000000000002</v>
      </c>
      <c r="I314" s="130">
        <v>335.8</v>
      </c>
      <c r="J314" s="130">
        <v>165.3</v>
      </c>
      <c r="K314" s="130">
        <v>158.9</v>
      </c>
      <c r="L314" s="131">
        <v>163.80000000000001</v>
      </c>
      <c r="M314" s="131">
        <v>169.3</v>
      </c>
      <c r="N314" s="131">
        <v>191.4</v>
      </c>
      <c r="O314" s="131">
        <v>165.2</v>
      </c>
      <c r="P314" s="131">
        <v>167.6</v>
      </c>
      <c r="Q314" s="131">
        <f t="shared" si="10"/>
        <v>4365</v>
      </c>
    </row>
    <row r="315" spans="1:17" x14ac:dyDescent="0.35">
      <c r="A315" s="129" t="s">
        <v>33</v>
      </c>
      <c r="B315" s="129">
        <v>2021</v>
      </c>
      <c r="C315" s="129" t="s">
        <v>45</v>
      </c>
      <c r="D315" s="129" t="str">
        <f t="shared" si="9"/>
        <v>November-2021</v>
      </c>
      <c r="E315" s="129" t="s">
        <v>90</v>
      </c>
      <c r="F315" s="130">
        <v>2217.8999999999996</v>
      </c>
      <c r="G315" s="130">
        <v>467.3</v>
      </c>
      <c r="H315" s="130">
        <v>319.39999999999998</v>
      </c>
      <c r="I315" s="130">
        <v>326</v>
      </c>
      <c r="J315" s="130">
        <v>161.6</v>
      </c>
      <c r="K315" s="130">
        <v>151.19999999999999</v>
      </c>
      <c r="L315" s="131">
        <v>156.69999999999999</v>
      </c>
      <c r="M315" s="131">
        <v>160.80000000000001</v>
      </c>
      <c r="N315" s="131">
        <v>197</v>
      </c>
      <c r="O315" s="131">
        <v>157.30000000000001</v>
      </c>
      <c r="P315" s="131">
        <v>165.6</v>
      </c>
      <c r="Q315" s="131">
        <f t="shared" si="10"/>
        <v>4315.2</v>
      </c>
    </row>
    <row r="316" spans="1:17" x14ac:dyDescent="0.35">
      <c r="A316" s="129" t="s">
        <v>34</v>
      </c>
      <c r="B316" s="129">
        <v>2021</v>
      </c>
      <c r="C316" s="129" t="s">
        <v>45</v>
      </c>
      <c r="D316" s="129" t="str">
        <f t="shared" si="9"/>
        <v>November-2021</v>
      </c>
      <c r="E316" s="129" t="s">
        <v>90</v>
      </c>
      <c r="F316" s="130">
        <v>2194.1</v>
      </c>
      <c r="G316" s="130">
        <v>490.40000000000003</v>
      </c>
      <c r="H316" s="130">
        <v>323.5</v>
      </c>
      <c r="I316" s="130">
        <v>332.1</v>
      </c>
      <c r="J316" s="130">
        <v>163.9</v>
      </c>
      <c r="K316" s="130">
        <v>154.80000000000001</v>
      </c>
      <c r="L316" s="131">
        <v>159.80000000000001</v>
      </c>
      <c r="M316" s="131">
        <v>164.3</v>
      </c>
      <c r="N316" s="131">
        <v>192.9</v>
      </c>
      <c r="O316" s="131">
        <v>161.4</v>
      </c>
      <c r="P316" s="131">
        <v>166.7</v>
      </c>
      <c r="Q316" s="131">
        <f t="shared" si="10"/>
        <v>4337.2</v>
      </c>
    </row>
    <row r="317" spans="1:17" x14ac:dyDescent="0.35">
      <c r="A317" s="129" t="s">
        <v>30</v>
      </c>
      <c r="B317" s="129">
        <v>2021</v>
      </c>
      <c r="C317" s="129" t="s">
        <v>46</v>
      </c>
      <c r="D317" s="129" t="str">
        <f t="shared" si="9"/>
        <v>December-2021</v>
      </c>
      <c r="E317" s="129" t="s">
        <v>90</v>
      </c>
      <c r="F317" s="130">
        <v>2168.1999999999998</v>
      </c>
      <c r="G317" s="130">
        <v>510.3</v>
      </c>
      <c r="H317" s="130">
        <v>327.3</v>
      </c>
      <c r="I317" s="130">
        <v>336.8</v>
      </c>
      <c r="J317" s="130">
        <v>165.6</v>
      </c>
      <c r="K317" s="130">
        <v>160.1</v>
      </c>
      <c r="L317" s="131">
        <v>164.5</v>
      </c>
      <c r="M317" s="131">
        <v>169.7</v>
      </c>
      <c r="N317" s="131">
        <v>190.8</v>
      </c>
      <c r="O317" s="131">
        <v>166</v>
      </c>
      <c r="P317" s="131">
        <v>167</v>
      </c>
      <c r="Q317" s="131">
        <f t="shared" si="10"/>
        <v>4359.3</v>
      </c>
    </row>
    <row r="318" spans="1:17" x14ac:dyDescent="0.35">
      <c r="A318" s="129" t="s">
        <v>33</v>
      </c>
      <c r="B318" s="129">
        <v>2021</v>
      </c>
      <c r="C318" s="129" t="s">
        <v>46</v>
      </c>
      <c r="D318" s="129" t="str">
        <f t="shared" si="9"/>
        <v>December-2021</v>
      </c>
      <c r="E318" s="129" t="s">
        <v>90</v>
      </c>
      <c r="F318" s="130">
        <v>2206.3000000000002</v>
      </c>
      <c r="G318" s="130">
        <v>470.7</v>
      </c>
      <c r="H318" s="130">
        <v>319.39999999999998</v>
      </c>
      <c r="I318" s="130">
        <v>327.5</v>
      </c>
      <c r="J318" s="130">
        <v>161.69999999999999</v>
      </c>
      <c r="K318" s="130">
        <v>151.80000000000001</v>
      </c>
      <c r="L318" s="131">
        <v>157.6</v>
      </c>
      <c r="M318" s="131">
        <v>160.6</v>
      </c>
      <c r="N318" s="131">
        <v>196.8</v>
      </c>
      <c r="O318" s="131">
        <v>157.80000000000001</v>
      </c>
      <c r="P318" s="131">
        <v>165.2</v>
      </c>
      <c r="Q318" s="131">
        <f t="shared" si="10"/>
        <v>4310.2</v>
      </c>
    </row>
    <row r="319" spans="1:17" x14ac:dyDescent="0.35">
      <c r="A319" s="129" t="s">
        <v>34</v>
      </c>
      <c r="B319" s="129">
        <v>2021</v>
      </c>
      <c r="C319" s="129" t="s">
        <v>46</v>
      </c>
      <c r="D319" s="129" t="str">
        <f t="shared" si="9"/>
        <v>December-2021</v>
      </c>
      <c r="E319" s="129" t="s">
        <v>90</v>
      </c>
      <c r="F319" s="130">
        <v>2180.9</v>
      </c>
      <c r="G319" s="130">
        <v>494.2</v>
      </c>
      <c r="H319" s="130">
        <v>323.60000000000002</v>
      </c>
      <c r="I319" s="130">
        <v>333.2</v>
      </c>
      <c r="J319" s="130">
        <v>164.1</v>
      </c>
      <c r="K319" s="130">
        <v>155.69999999999999</v>
      </c>
      <c r="L319" s="131">
        <v>160.6</v>
      </c>
      <c r="M319" s="131">
        <v>164.4</v>
      </c>
      <c r="N319" s="131">
        <v>192.4</v>
      </c>
      <c r="O319" s="131">
        <v>162</v>
      </c>
      <c r="P319" s="131">
        <v>166.2</v>
      </c>
      <c r="Q319" s="131">
        <f t="shared" si="10"/>
        <v>4331.0999999999995</v>
      </c>
    </row>
    <row r="320" spans="1:17" x14ac:dyDescent="0.35">
      <c r="A320" s="129" t="s">
        <v>30</v>
      </c>
      <c r="B320" s="129">
        <v>2022</v>
      </c>
      <c r="C320" s="129" t="s">
        <v>31</v>
      </c>
      <c r="D320" s="129" t="str">
        <f t="shared" si="9"/>
        <v>January-2022</v>
      </c>
      <c r="E320" s="129" t="s">
        <v>90</v>
      </c>
      <c r="F320" s="130">
        <v>2153</v>
      </c>
      <c r="G320" s="130">
        <v>515.20000000000005</v>
      </c>
      <c r="H320" s="130">
        <v>329.4</v>
      </c>
      <c r="I320" s="130">
        <v>337.9</v>
      </c>
      <c r="J320" s="130">
        <v>165.8</v>
      </c>
      <c r="K320" s="130">
        <v>160.80000000000001</v>
      </c>
      <c r="L320" s="131">
        <v>164.9</v>
      </c>
      <c r="M320" s="131">
        <v>169.9</v>
      </c>
      <c r="N320" s="131">
        <v>190.7</v>
      </c>
      <c r="O320" s="131">
        <v>166.6</v>
      </c>
      <c r="P320" s="131">
        <v>166.4</v>
      </c>
      <c r="Q320" s="131">
        <f t="shared" si="10"/>
        <v>4354.2000000000007</v>
      </c>
    </row>
    <row r="321" spans="1:17" x14ac:dyDescent="0.35">
      <c r="A321" s="129" t="s">
        <v>33</v>
      </c>
      <c r="B321" s="129">
        <v>2022</v>
      </c>
      <c r="C321" s="129" t="s">
        <v>31</v>
      </c>
      <c r="D321" s="129" t="str">
        <f t="shared" si="9"/>
        <v>January-2022</v>
      </c>
      <c r="E321" s="129" t="s">
        <v>90</v>
      </c>
      <c r="F321" s="130">
        <v>2186.6999999999998</v>
      </c>
      <c r="G321" s="130">
        <v>475.4</v>
      </c>
      <c r="H321" s="130">
        <v>321.3</v>
      </c>
      <c r="I321" s="130">
        <v>328.9</v>
      </c>
      <c r="J321" s="130">
        <v>161.6</v>
      </c>
      <c r="K321" s="130">
        <v>152.69999999999999</v>
      </c>
      <c r="L321" s="131">
        <v>158.4</v>
      </c>
      <c r="M321" s="131">
        <v>161</v>
      </c>
      <c r="N321" s="131">
        <v>196.4</v>
      </c>
      <c r="O321" s="131">
        <v>158.6</v>
      </c>
      <c r="P321" s="131">
        <v>165</v>
      </c>
      <c r="Q321" s="131">
        <f t="shared" si="10"/>
        <v>4301</v>
      </c>
    </row>
    <row r="322" spans="1:17" x14ac:dyDescent="0.35">
      <c r="A322" s="129" t="s">
        <v>34</v>
      </c>
      <c r="B322" s="129">
        <v>2022</v>
      </c>
      <c r="C322" s="129" t="s">
        <v>31</v>
      </c>
      <c r="D322" s="129" t="str">
        <f t="shared" ref="D322:D370" si="11">CONCATENATE(C322,"-",B322)</f>
        <v>January-2022</v>
      </c>
      <c r="E322" s="129" t="s">
        <v>90</v>
      </c>
      <c r="F322" s="130">
        <v>2164.1999999999998</v>
      </c>
      <c r="G322" s="130">
        <v>499.1</v>
      </c>
      <c r="H322" s="130">
        <v>325.60000000000002</v>
      </c>
      <c r="I322" s="130">
        <v>334.4</v>
      </c>
      <c r="J322" s="130">
        <v>164.2</v>
      </c>
      <c r="K322" s="130">
        <v>156.5</v>
      </c>
      <c r="L322" s="131">
        <v>161.19999999999999</v>
      </c>
      <c r="M322" s="131">
        <v>164.7</v>
      </c>
      <c r="N322" s="131">
        <v>192.2</v>
      </c>
      <c r="O322" s="131">
        <v>162.69999999999999</v>
      </c>
      <c r="P322" s="131">
        <v>165.7</v>
      </c>
      <c r="Q322" s="131">
        <f t="shared" si="10"/>
        <v>4324.7999999999993</v>
      </c>
    </row>
    <row r="323" spans="1:17" x14ac:dyDescent="0.35">
      <c r="A323" s="129" t="s">
        <v>30</v>
      </c>
      <c r="B323" s="129">
        <v>2022</v>
      </c>
      <c r="C323" s="129" t="s">
        <v>35</v>
      </c>
      <c r="D323" s="129" t="str">
        <f t="shared" si="11"/>
        <v>February-2022</v>
      </c>
      <c r="E323" s="129" t="s">
        <v>90</v>
      </c>
      <c r="F323" s="130">
        <v>2150.4</v>
      </c>
      <c r="G323" s="130">
        <v>518.79999999999995</v>
      </c>
      <c r="H323" s="130">
        <v>331.2</v>
      </c>
      <c r="I323" s="130">
        <v>339.8</v>
      </c>
      <c r="J323" s="130">
        <v>167.4</v>
      </c>
      <c r="K323" s="130">
        <v>161.19999999999999</v>
      </c>
      <c r="L323" s="131">
        <v>165.5</v>
      </c>
      <c r="M323" s="131">
        <v>170.3</v>
      </c>
      <c r="N323" s="131">
        <v>191.5</v>
      </c>
      <c r="O323" s="131">
        <v>167.3</v>
      </c>
      <c r="P323" s="131">
        <v>166.7</v>
      </c>
      <c r="Q323" s="131">
        <f t="shared" ref="Q323:Q370" si="12">SUM(F323:O323)</f>
        <v>4363.4000000000005</v>
      </c>
    </row>
    <row r="324" spans="1:17" x14ac:dyDescent="0.35">
      <c r="A324" s="129" t="s">
        <v>33</v>
      </c>
      <c r="B324" s="129">
        <v>2022</v>
      </c>
      <c r="C324" s="129" t="s">
        <v>35</v>
      </c>
      <c r="D324" s="129" t="str">
        <f t="shared" si="11"/>
        <v>February-2022</v>
      </c>
      <c r="E324" s="129" t="s">
        <v>90</v>
      </c>
      <c r="F324" s="130">
        <v>2183.5</v>
      </c>
      <c r="G324" s="130">
        <v>479.5</v>
      </c>
      <c r="H324" s="130">
        <v>322.89999999999998</v>
      </c>
      <c r="I324" s="130">
        <v>331.4</v>
      </c>
      <c r="J324" s="130">
        <v>163</v>
      </c>
      <c r="K324" s="130">
        <v>153.1</v>
      </c>
      <c r="L324" s="131">
        <v>159.5</v>
      </c>
      <c r="M324" s="131">
        <v>162</v>
      </c>
      <c r="N324" s="131">
        <v>196.5</v>
      </c>
      <c r="O324" s="131">
        <v>159.4</v>
      </c>
      <c r="P324" s="131">
        <v>165.5</v>
      </c>
      <c r="Q324" s="131">
        <f t="shared" si="12"/>
        <v>4310.7999999999993</v>
      </c>
    </row>
    <row r="325" spans="1:17" x14ac:dyDescent="0.35">
      <c r="A325" s="129" t="s">
        <v>34</v>
      </c>
      <c r="B325" s="129">
        <v>2022</v>
      </c>
      <c r="C325" s="129" t="s">
        <v>35</v>
      </c>
      <c r="D325" s="129" t="str">
        <f t="shared" si="11"/>
        <v>February-2022</v>
      </c>
      <c r="E325" s="129" t="s">
        <v>90</v>
      </c>
      <c r="F325" s="130">
        <v>2161.2000000000003</v>
      </c>
      <c r="G325" s="130">
        <v>502.80000000000007</v>
      </c>
      <c r="H325" s="130">
        <v>327.3</v>
      </c>
      <c r="I325" s="130">
        <v>336.6</v>
      </c>
      <c r="J325" s="130">
        <v>165.7</v>
      </c>
      <c r="K325" s="130">
        <v>156.9</v>
      </c>
      <c r="L325" s="131">
        <v>162.1</v>
      </c>
      <c r="M325" s="131">
        <v>165.4</v>
      </c>
      <c r="N325" s="131">
        <v>192.8</v>
      </c>
      <c r="O325" s="131">
        <v>163.5</v>
      </c>
      <c r="P325" s="131">
        <v>166.1</v>
      </c>
      <c r="Q325" s="131">
        <f t="shared" si="12"/>
        <v>4334.3</v>
      </c>
    </row>
    <row r="326" spans="1:17" x14ac:dyDescent="0.35">
      <c r="A326" s="129" t="s">
        <v>30</v>
      </c>
      <c r="B326" s="129">
        <v>2022</v>
      </c>
      <c r="C326" s="129" t="s">
        <v>36</v>
      </c>
      <c r="D326" s="129" t="str">
        <f t="shared" si="11"/>
        <v>March-2022</v>
      </c>
      <c r="E326" s="129" t="s">
        <v>90</v>
      </c>
      <c r="F326" s="130">
        <v>2179.1000000000004</v>
      </c>
      <c r="G326" s="130">
        <v>523.70000000000005</v>
      </c>
      <c r="H326" s="130">
        <v>331.8</v>
      </c>
      <c r="I326" s="130">
        <v>343.4</v>
      </c>
      <c r="J326" s="130">
        <v>168.9</v>
      </c>
      <c r="K326" s="130">
        <v>162</v>
      </c>
      <c r="L326" s="131">
        <v>166.6</v>
      </c>
      <c r="M326" s="131">
        <v>170.6</v>
      </c>
      <c r="N326" s="131">
        <v>192.3</v>
      </c>
      <c r="O326" s="131">
        <v>168.3</v>
      </c>
      <c r="P326" s="131">
        <v>168.7</v>
      </c>
      <c r="Q326" s="131">
        <f t="shared" si="12"/>
        <v>4406.7000000000007</v>
      </c>
    </row>
    <row r="327" spans="1:17" x14ac:dyDescent="0.35">
      <c r="A327" s="129" t="s">
        <v>33</v>
      </c>
      <c r="B327" s="129">
        <v>2022</v>
      </c>
      <c r="C327" s="129" t="s">
        <v>36</v>
      </c>
      <c r="D327" s="129" t="str">
        <f t="shared" si="11"/>
        <v>March-2022</v>
      </c>
      <c r="E327" s="129" t="s">
        <v>90</v>
      </c>
      <c r="F327" s="130">
        <v>2196.3000000000002</v>
      </c>
      <c r="G327" s="130">
        <v>484.6</v>
      </c>
      <c r="H327" s="130">
        <v>323.89999999999998</v>
      </c>
      <c r="I327" s="130">
        <v>335</v>
      </c>
      <c r="J327" s="130">
        <v>164.5</v>
      </c>
      <c r="K327" s="130">
        <v>154.19999999999999</v>
      </c>
      <c r="L327" s="131">
        <v>160.80000000000001</v>
      </c>
      <c r="M327" s="131">
        <v>162.69999999999999</v>
      </c>
      <c r="N327" s="131">
        <v>197.5</v>
      </c>
      <c r="O327" s="131">
        <v>160.6</v>
      </c>
      <c r="P327" s="131">
        <v>166.5</v>
      </c>
      <c r="Q327" s="131">
        <f t="shared" si="12"/>
        <v>4340.1000000000004</v>
      </c>
    </row>
    <row r="328" spans="1:17" x14ac:dyDescent="0.35">
      <c r="A328" s="129" t="s">
        <v>34</v>
      </c>
      <c r="B328" s="129">
        <v>2022</v>
      </c>
      <c r="C328" s="129" t="s">
        <v>36</v>
      </c>
      <c r="D328" s="129" t="str">
        <f t="shared" si="11"/>
        <v>March-2022</v>
      </c>
      <c r="E328" s="129" t="s">
        <v>90</v>
      </c>
      <c r="F328" s="130">
        <v>2184.2000000000003</v>
      </c>
      <c r="G328" s="130">
        <v>507.79999999999995</v>
      </c>
      <c r="H328" s="130">
        <v>328.1</v>
      </c>
      <c r="I328" s="130">
        <v>340.2</v>
      </c>
      <c r="J328" s="130">
        <v>167.2</v>
      </c>
      <c r="K328" s="130">
        <v>157.9</v>
      </c>
      <c r="L328" s="131">
        <v>163.30000000000001</v>
      </c>
      <c r="M328" s="131">
        <v>166</v>
      </c>
      <c r="N328" s="131">
        <v>193.7</v>
      </c>
      <c r="O328" s="131">
        <v>164.6</v>
      </c>
      <c r="P328" s="131">
        <v>167.7</v>
      </c>
      <c r="Q328" s="131">
        <f t="shared" si="12"/>
        <v>4373</v>
      </c>
    </row>
    <row r="329" spans="1:17" x14ac:dyDescent="0.35">
      <c r="A329" s="129" t="s">
        <v>30</v>
      </c>
      <c r="B329" s="129">
        <v>2022</v>
      </c>
      <c r="C329" s="129" t="s">
        <v>37</v>
      </c>
      <c r="D329" s="129" t="str">
        <f t="shared" si="11"/>
        <v>April-2022</v>
      </c>
      <c r="E329" s="129" t="s">
        <v>32</v>
      </c>
      <c r="F329" s="130">
        <v>2206.6</v>
      </c>
      <c r="G329" s="130">
        <v>529.70000000000005</v>
      </c>
      <c r="H329" s="130">
        <v>334.7</v>
      </c>
      <c r="I329" s="130">
        <v>346</v>
      </c>
      <c r="J329" s="130">
        <v>173.3</v>
      </c>
      <c r="K329" s="130">
        <v>166.2</v>
      </c>
      <c r="L329" s="131">
        <v>167.2</v>
      </c>
      <c r="M329" s="131">
        <v>170.9</v>
      </c>
      <c r="N329" s="131">
        <v>192.8</v>
      </c>
      <c r="O329" s="131">
        <v>170.2</v>
      </c>
      <c r="P329" s="131">
        <v>170.8</v>
      </c>
      <c r="Q329" s="131">
        <f t="shared" si="12"/>
        <v>4457.5999999999995</v>
      </c>
    </row>
    <row r="330" spans="1:17" x14ac:dyDescent="0.35">
      <c r="A330" s="129" t="s">
        <v>33</v>
      </c>
      <c r="B330" s="129">
        <v>2022</v>
      </c>
      <c r="C330" s="129" t="s">
        <v>37</v>
      </c>
      <c r="D330" s="129" t="str">
        <f t="shared" si="11"/>
        <v>April-2022</v>
      </c>
      <c r="E330" s="129" t="s">
        <v>32</v>
      </c>
      <c r="F330" s="130">
        <v>2230.4</v>
      </c>
      <c r="G330" s="130">
        <v>489.2</v>
      </c>
      <c r="H330" s="130">
        <v>326.8</v>
      </c>
      <c r="I330" s="130">
        <v>337.4</v>
      </c>
      <c r="J330" s="130">
        <v>170.5</v>
      </c>
      <c r="K330" s="130">
        <v>159.30000000000001</v>
      </c>
      <c r="L330" s="131">
        <v>162.19999999999999</v>
      </c>
      <c r="M330" s="131">
        <v>164</v>
      </c>
      <c r="N330" s="131">
        <v>197.1</v>
      </c>
      <c r="O330" s="131">
        <v>163.1</v>
      </c>
      <c r="P330" s="131">
        <v>169.2</v>
      </c>
      <c r="Q330" s="131">
        <f t="shared" si="12"/>
        <v>4400.0000000000009</v>
      </c>
    </row>
    <row r="331" spans="1:17" x14ac:dyDescent="0.35">
      <c r="A331" s="129" t="s">
        <v>34</v>
      </c>
      <c r="B331" s="129">
        <v>2022</v>
      </c>
      <c r="C331" s="129" t="s">
        <v>37</v>
      </c>
      <c r="D331" s="129" t="str">
        <f t="shared" si="11"/>
        <v>April-2022</v>
      </c>
      <c r="E331" s="129" t="s">
        <v>32</v>
      </c>
      <c r="F331" s="130">
        <v>2214.3000000000002</v>
      </c>
      <c r="G331" s="130">
        <v>513.20000000000005</v>
      </c>
      <c r="H331" s="130">
        <v>331</v>
      </c>
      <c r="I331" s="130">
        <v>342.8</v>
      </c>
      <c r="J331" s="130">
        <v>172.2</v>
      </c>
      <c r="K331" s="130">
        <v>162.6</v>
      </c>
      <c r="L331" s="131">
        <v>164.4</v>
      </c>
      <c r="M331" s="131">
        <v>166.9</v>
      </c>
      <c r="N331" s="131">
        <v>193.9</v>
      </c>
      <c r="O331" s="131">
        <v>166.8</v>
      </c>
      <c r="P331" s="131">
        <v>170.1</v>
      </c>
      <c r="Q331" s="131">
        <f t="shared" si="12"/>
        <v>4428.1000000000004</v>
      </c>
    </row>
    <row r="332" spans="1:17" x14ac:dyDescent="0.35">
      <c r="A332" s="129" t="s">
        <v>30</v>
      </c>
      <c r="B332" s="129">
        <v>2022</v>
      </c>
      <c r="C332" s="129" t="s">
        <v>38</v>
      </c>
      <c r="D332" s="129" t="str">
        <f t="shared" si="11"/>
        <v>May-2022</v>
      </c>
      <c r="E332" s="129" t="s">
        <v>32</v>
      </c>
      <c r="F332" s="130">
        <v>2226.8000000000002</v>
      </c>
      <c r="G332" s="130">
        <v>535.5</v>
      </c>
      <c r="H332" s="130">
        <v>336.4</v>
      </c>
      <c r="I332" s="130">
        <v>346.2</v>
      </c>
      <c r="J332" s="130">
        <v>175.3</v>
      </c>
      <c r="K332" s="130">
        <v>167.1</v>
      </c>
      <c r="L332" s="131">
        <v>167.6</v>
      </c>
      <c r="M332" s="131">
        <v>171.8</v>
      </c>
      <c r="N332" s="131">
        <v>192.9</v>
      </c>
      <c r="O332" s="131">
        <v>170.9</v>
      </c>
      <c r="P332" s="131">
        <v>172.5</v>
      </c>
      <c r="Q332" s="131">
        <f t="shared" si="12"/>
        <v>4490.4999999999991</v>
      </c>
    </row>
    <row r="333" spans="1:17" x14ac:dyDescent="0.35">
      <c r="A333" s="129" t="s">
        <v>33</v>
      </c>
      <c r="B333" s="129">
        <v>2022</v>
      </c>
      <c r="C333" s="129" t="s">
        <v>38</v>
      </c>
      <c r="D333" s="129" t="str">
        <f t="shared" si="11"/>
        <v>May-2022</v>
      </c>
      <c r="E333" s="129" t="s">
        <v>32</v>
      </c>
      <c r="F333" s="130">
        <v>2262.2000000000003</v>
      </c>
      <c r="G333" s="130">
        <v>493.7</v>
      </c>
      <c r="H333" s="130">
        <v>328.6</v>
      </c>
      <c r="I333" s="130">
        <v>338.29999999999995</v>
      </c>
      <c r="J333" s="130">
        <v>173.5</v>
      </c>
      <c r="K333" s="130">
        <v>159.4</v>
      </c>
      <c r="L333" s="131">
        <v>163.19999999999999</v>
      </c>
      <c r="M333" s="131">
        <v>165.2</v>
      </c>
      <c r="N333" s="131">
        <v>197.5</v>
      </c>
      <c r="O333" s="131">
        <v>163.80000000000001</v>
      </c>
      <c r="P333" s="131">
        <v>170.8</v>
      </c>
      <c r="Q333" s="131">
        <f t="shared" si="12"/>
        <v>4445.4000000000005</v>
      </c>
    </row>
    <row r="334" spans="1:17" x14ac:dyDescent="0.35">
      <c r="A334" s="129" t="s">
        <v>34</v>
      </c>
      <c r="B334" s="129">
        <v>2022</v>
      </c>
      <c r="C334" s="129" t="s">
        <v>38</v>
      </c>
      <c r="D334" s="129" t="str">
        <f t="shared" si="11"/>
        <v>May-2022</v>
      </c>
      <c r="E334" s="129" t="s">
        <v>32</v>
      </c>
      <c r="F334" s="130">
        <v>2238.9000000000005</v>
      </c>
      <c r="G334" s="130">
        <v>518.6</v>
      </c>
      <c r="H334" s="130">
        <v>332.7</v>
      </c>
      <c r="I334" s="130">
        <v>343.20000000000005</v>
      </c>
      <c r="J334" s="130">
        <v>174.6</v>
      </c>
      <c r="K334" s="130">
        <v>163</v>
      </c>
      <c r="L334" s="131">
        <v>165.1</v>
      </c>
      <c r="M334" s="131">
        <v>167.9</v>
      </c>
      <c r="N334" s="131">
        <v>194.1</v>
      </c>
      <c r="O334" s="131">
        <v>167.5</v>
      </c>
      <c r="P334" s="131">
        <v>171.7</v>
      </c>
      <c r="Q334" s="131">
        <f t="shared" si="12"/>
        <v>4465.6000000000004</v>
      </c>
    </row>
    <row r="335" spans="1:17" x14ac:dyDescent="0.35">
      <c r="A335" s="129" t="s">
        <v>30</v>
      </c>
      <c r="B335" s="129">
        <v>2022</v>
      </c>
      <c r="C335" s="129" t="s">
        <v>39</v>
      </c>
      <c r="D335" s="129" t="str">
        <f t="shared" si="11"/>
        <v>June-2022</v>
      </c>
      <c r="E335" s="129" t="s">
        <v>32</v>
      </c>
      <c r="F335" s="130">
        <v>2248.3000000000002</v>
      </c>
      <c r="G335" s="130">
        <v>539.79999999999995</v>
      </c>
      <c r="H335" s="130">
        <v>337.1</v>
      </c>
      <c r="I335" s="130">
        <v>347.7</v>
      </c>
      <c r="J335" s="130">
        <v>176.7</v>
      </c>
      <c r="K335" s="130">
        <v>165.5</v>
      </c>
      <c r="L335" s="131">
        <v>168</v>
      </c>
      <c r="M335" s="131">
        <v>172.6</v>
      </c>
      <c r="N335" s="131">
        <v>192.9</v>
      </c>
      <c r="O335" s="131">
        <v>171</v>
      </c>
      <c r="P335" s="131">
        <v>173.6</v>
      </c>
      <c r="Q335" s="131">
        <f t="shared" si="12"/>
        <v>4519.5999999999995</v>
      </c>
    </row>
    <row r="336" spans="1:17" x14ac:dyDescent="0.35">
      <c r="A336" s="129" t="s">
        <v>33</v>
      </c>
      <c r="B336" s="129">
        <v>2022</v>
      </c>
      <c r="C336" s="129" t="s">
        <v>39</v>
      </c>
      <c r="D336" s="129" t="str">
        <f t="shared" si="11"/>
        <v>June-2022</v>
      </c>
      <c r="E336" s="129" t="s">
        <v>32</v>
      </c>
      <c r="F336" s="130">
        <v>2287.5</v>
      </c>
      <c r="G336" s="130">
        <v>498.4</v>
      </c>
      <c r="H336" s="130">
        <v>328.9</v>
      </c>
      <c r="I336" s="130">
        <v>340.1</v>
      </c>
      <c r="J336" s="130">
        <v>174.9</v>
      </c>
      <c r="K336" s="130">
        <v>157.19999999999999</v>
      </c>
      <c r="L336" s="131">
        <v>164.1</v>
      </c>
      <c r="M336" s="131">
        <v>166.5</v>
      </c>
      <c r="N336" s="131">
        <v>198.3</v>
      </c>
      <c r="O336" s="131">
        <v>163.80000000000001</v>
      </c>
      <c r="P336" s="131">
        <v>171.4</v>
      </c>
      <c r="Q336" s="131">
        <f t="shared" si="12"/>
        <v>4479.7000000000007</v>
      </c>
    </row>
    <row r="337" spans="1:17" x14ac:dyDescent="0.35">
      <c r="A337" s="129" t="s">
        <v>34</v>
      </c>
      <c r="B337" s="129">
        <v>2022</v>
      </c>
      <c r="C337" s="129" t="s">
        <v>39</v>
      </c>
      <c r="D337" s="129" t="str">
        <f t="shared" si="11"/>
        <v>June-2022</v>
      </c>
      <c r="E337" s="129" t="s">
        <v>32</v>
      </c>
      <c r="F337" s="130">
        <v>2261.9</v>
      </c>
      <c r="G337" s="130">
        <v>523</v>
      </c>
      <c r="H337" s="130">
        <v>333.20000000000005</v>
      </c>
      <c r="I337" s="130">
        <v>344.8</v>
      </c>
      <c r="J337" s="130">
        <v>176</v>
      </c>
      <c r="K337" s="130">
        <v>161.1</v>
      </c>
      <c r="L337" s="131">
        <v>165.8</v>
      </c>
      <c r="M337" s="131">
        <v>169</v>
      </c>
      <c r="N337" s="131">
        <v>194.3</v>
      </c>
      <c r="O337" s="131">
        <v>167.5</v>
      </c>
      <c r="P337" s="131">
        <v>172.6</v>
      </c>
      <c r="Q337" s="131">
        <f t="shared" si="12"/>
        <v>4496.6000000000013</v>
      </c>
    </row>
    <row r="338" spans="1:17" x14ac:dyDescent="0.35">
      <c r="A338" s="129" t="s">
        <v>30</v>
      </c>
      <c r="B338" s="129">
        <v>2022</v>
      </c>
      <c r="C338" s="129" t="s">
        <v>40</v>
      </c>
      <c r="D338" s="129" t="str">
        <f t="shared" si="11"/>
        <v>July-2022</v>
      </c>
      <c r="E338" s="129" t="s">
        <v>32</v>
      </c>
      <c r="F338" s="130">
        <v>2252.5</v>
      </c>
      <c r="G338" s="130">
        <v>544</v>
      </c>
      <c r="H338" s="130">
        <v>339.1</v>
      </c>
      <c r="I338" s="130">
        <v>348.5</v>
      </c>
      <c r="J338" s="130">
        <v>179.6</v>
      </c>
      <c r="K338" s="130">
        <v>166.3</v>
      </c>
      <c r="L338" s="131">
        <v>168.6</v>
      </c>
      <c r="M338" s="131">
        <v>174.7</v>
      </c>
      <c r="N338" s="131">
        <v>193.2</v>
      </c>
      <c r="O338" s="131">
        <v>171.8</v>
      </c>
      <c r="P338" s="131">
        <v>174.3</v>
      </c>
      <c r="Q338" s="131">
        <f t="shared" si="12"/>
        <v>4538.3</v>
      </c>
    </row>
    <row r="339" spans="1:17" x14ac:dyDescent="0.35">
      <c r="A339" s="129" t="s">
        <v>33</v>
      </c>
      <c r="B339" s="129">
        <v>2022</v>
      </c>
      <c r="C339" s="129" t="s">
        <v>40</v>
      </c>
      <c r="D339" s="129" t="str">
        <f t="shared" si="11"/>
        <v>July-2022</v>
      </c>
      <c r="E339" s="129" t="s">
        <v>32</v>
      </c>
      <c r="F339" s="130">
        <v>2291.6</v>
      </c>
      <c r="G339" s="130">
        <v>502</v>
      </c>
      <c r="H339" s="130">
        <v>330.9</v>
      </c>
      <c r="I339" s="130">
        <v>341.5</v>
      </c>
      <c r="J339" s="130">
        <v>179.5</v>
      </c>
      <c r="K339" s="130">
        <v>157.4</v>
      </c>
      <c r="L339" s="131">
        <v>164.6</v>
      </c>
      <c r="M339" s="131">
        <v>169.1</v>
      </c>
      <c r="N339" s="131">
        <v>198.6</v>
      </c>
      <c r="O339" s="131">
        <v>164.7</v>
      </c>
      <c r="P339" s="131">
        <v>172.3</v>
      </c>
      <c r="Q339" s="131">
        <f t="shared" si="12"/>
        <v>4499.9000000000005</v>
      </c>
    </row>
    <row r="340" spans="1:17" x14ac:dyDescent="0.35">
      <c r="A340" s="129" t="s">
        <v>34</v>
      </c>
      <c r="B340" s="129">
        <v>2022</v>
      </c>
      <c r="C340" s="129" t="s">
        <v>40</v>
      </c>
      <c r="D340" s="129" t="str">
        <f t="shared" si="11"/>
        <v>July-2022</v>
      </c>
      <c r="E340" s="129" t="s">
        <v>32</v>
      </c>
      <c r="F340" s="130">
        <v>2266.3000000000002</v>
      </c>
      <c r="G340" s="130">
        <v>526.90000000000009</v>
      </c>
      <c r="H340" s="130">
        <v>335.20000000000005</v>
      </c>
      <c r="I340" s="130">
        <v>345.79999999999995</v>
      </c>
      <c r="J340" s="130">
        <v>179.6</v>
      </c>
      <c r="K340" s="130">
        <v>161.6</v>
      </c>
      <c r="L340" s="131">
        <v>166.3</v>
      </c>
      <c r="M340" s="131">
        <v>171.4</v>
      </c>
      <c r="N340" s="131">
        <v>194.6</v>
      </c>
      <c r="O340" s="131">
        <v>168.4</v>
      </c>
      <c r="P340" s="131">
        <v>173.4</v>
      </c>
      <c r="Q340" s="131">
        <f t="shared" si="12"/>
        <v>4516.1000000000004</v>
      </c>
    </row>
    <row r="341" spans="1:17" x14ac:dyDescent="0.35">
      <c r="A341" s="129" t="s">
        <v>30</v>
      </c>
      <c r="B341" s="129">
        <v>2022</v>
      </c>
      <c r="C341" s="129" t="s">
        <v>41</v>
      </c>
      <c r="D341" s="129" t="str">
        <f t="shared" si="11"/>
        <v>August-2022</v>
      </c>
      <c r="E341" s="129" t="s">
        <v>32</v>
      </c>
      <c r="F341" s="130">
        <v>2255.7999999999997</v>
      </c>
      <c r="G341" s="130">
        <v>547.9</v>
      </c>
      <c r="H341" s="130">
        <v>341.3</v>
      </c>
      <c r="I341" s="130">
        <v>350.5</v>
      </c>
      <c r="J341" s="130">
        <v>179.1</v>
      </c>
      <c r="K341" s="130">
        <v>166.6</v>
      </c>
      <c r="L341" s="131">
        <v>169.3</v>
      </c>
      <c r="M341" s="131">
        <v>175.7</v>
      </c>
      <c r="N341" s="131">
        <v>193.7</v>
      </c>
      <c r="O341" s="131">
        <v>172.6</v>
      </c>
      <c r="P341" s="131">
        <v>175.3</v>
      </c>
      <c r="Q341" s="131">
        <f t="shared" si="12"/>
        <v>4552.5</v>
      </c>
    </row>
    <row r="342" spans="1:17" x14ac:dyDescent="0.35">
      <c r="A342" s="129" t="s">
        <v>33</v>
      </c>
      <c r="B342" s="129">
        <v>2022</v>
      </c>
      <c r="C342" s="129" t="s">
        <v>41</v>
      </c>
      <c r="D342" s="129" t="str">
        <f t="shared" si="11"/>
        <v>August-2022</v>
      </c>
      <c r="E342" s="129" t="s">
        <v>32</v>
      </c>
      <c r="F342" s="130">
        <v>2293.6999999999998</v>
      </c>
      <c r="G342" s="130">
        <v>505.29999999999995</v>
      </c>
      <c r="H342" s="130">
        <v>333.2</v>
      </c>
      <c r="I342" s="130">
        <v>344</v>
      </c>
      <c r="J342" s="130">
        <v>178.4</v>
      </c>
      <c r="K342" s="130">
        <v>157.69999999999999</v>
      </c>
      <c r="L342" s="131">
        <v>165.1</v>
      </c>
      <c r="M342" s="131">
        <v>169.9</v>
      </c>
      <c r="N342" s="131">
        <v>198.7</v>
      </c>
      <c r="O342" s="131">
        <v>165.4</v>
      </c>
      <c r="P342" s="131">
        <v>173.1</v>
      </c>
      <c r="Q342" s="131">
        <f t="shared" si="12"/>
        <v>4511.3999999999987</v>
      </c>
    </row>
    <row r="343" spans="1:17" x14ac:dyDescent="0.35">
      <c r="A343" s="129" t="s">
        <v>34</v>
      </c>
      <c r="B343" s="129">
        <v>2022</v>
      </c>
      <c r="C343" s="129" t="s">
        <v>41</v>
      </c>
      <c r="D343" s="129" t="str">
        <f t="shared" si="11"/>
        <v>August-2022</v>
      </c>
      <c r="E343" s="129" t="s">
        <v>32</v>
      </c>
      <c r="F343" s="130">
        <v>2269.2000000000003</v>
      </c>
      <c r="G343" s="130">
        <v>530.70000000000005</v>
      </c>
      <c r="H343" s="130">
        <v>337.5</v>
      </c>
      <c r="I343" s="130">
        <v>348</v>
      </c>
      <c r="J343" s="130">
        <v>178.8</v>
      </c>
      <c r="K343" s="130">
        <v>161.9</v>
      </c>
      <c r="L343" s="131">
        <v>166.9</v>
      </c>
      <c r="M343" s="131">
        <v>172.3</v>
      </c>
      <c r="N343" s="131">
        <v>195</v>
      </c>
      <c r="O343" s="131">
        <v>169.1</v>
      </c>
      <c r="P343" s="131">
        <v>174.3</v>
      </c>
      <c r="Q343" s="131">
        <f t="shared" si="12"/>
        <v>4529.4000000000015</v>
      </c>
    </row>
    <row r="344" spans="1:17" x14ac:dyDescent="0.35">
      <c r="A344" s="129" t="s">
        <v>30</v>
      </c>
      <c r="B344" s="129">
        <v>2022</v>
      </c>
      <c r="C344" s="129" t="s">
        <v>42</v>
      </c>
      <c r="D344" s="129" t="str">
        <f t="shared" si="11"/>
        <v>September-2022</v>
      </c>
      <c r="E344" s="129" t="s">
        <v>32</v>
      </c>
      <c r="F344" s="130">
        <v>2267.8000000000002</v>
      </c>
      <c r="G344" s="130">
        <v>552.5</v>
      </c>
      <c r="H344" s="130">
        <v>343.1</v>
      </c>
      <c r="I344" s="130">
        <v>351</v>
      </c>
      <c r="J344" s="130">
        <v>179.7</v>
      </c>
      <c r="K344" s="130">
        <v>166.9</v>
      </c>
      <c r="L344" s="131">
        <v>170</v>
      </c>
      <c r="M344" s="131">
        <v>176.2</v>
      </c>
      <c r="N344" s="131">
        <v>194.5</v>
      </c>
      <c r="O344" s="131">
        <v>173.1</v>
      </c>
      <c r="P344" s="131">
        <v>176.4</v>
      </c>
      <c r="Q344" s="131">
        <f t="shared" si="12"/>
        <v>4574.8</v>
      </c>
    </row>
    <row r="345" spans="1:17" x14ac:dyDescent="0.35">
      <c r="A345" s="129" t="s">
        <v>33</v>
      </c>
      <c r="B345" s="129">
        <v>2022</v>
      </c>
      <c r="C345" s="129" t="s">
        <v>42</v>
      </c>
      <c r="D345" s="129" t="str">
        <f t="shared" si="11"/>
        <v>September-2022</v>
      </c>
      <c r="E345" s="129" t="s">
        <v>32</v>
      </c>
      <c r="F345" s="130">
        <v>2306.4</v>
      </c>
      <c r="G345" s="130">
        <v>509.7</v>
      </c>
      <c r="H345" s="130">
        <v>334.5</v>
      </c>
      <c r="I345" s="130">
        <v>344.9</v>
      </c>
      <c r="J345" s="130">
        <v>179.2</v>
      </c>
      <c r="K345" s="130">
        <v>158.19999999999999</v>
      </c>
      <c r="L345" s="131">
        <v>165.8</v>
      </c>
      <c r="M345" s="131">
        <v>170.9</v>
      </c>
      <c r="N345" s="131">
        <v>199.7</v>
      </c>
      <c r="O345" s="131">
        <v>166.1</v>
      </c>
      <c r="P345" s="131">
        <v>174.1</v>
      </c>
      <c r="Q345" s="131">
        <f t="shared" si="12"/>
        <v>4535.3999999999996</v>
      </c>
    </row>
    <row r="346" spans="1:17" x14ac:dyDescent="0.35">
      <c r="A346" s="129" t="s">
        <v>34</v>
      </c>
      <c r="B346" s="129">
        <v>2022</v>
      </c>
      <c r="C346" s="129" t="s">
        <v>42</v>
      </c>
      <c r="D346" s="129" t="str">
        <f t="shared" si="11"/>
        <v>September-2022</v>
      </c>
      <c r="E346" s="129" t="s">
        <v>32</v>
      </c>
      <c r="F346" s="130">
        <v>2280.9</v>
      </c>
      <c r="G346" s="130">
        <v>535.1</v>
      </c>
      <c r="H346" s="130">
        <v>339</v>
      </c>
      <c r="I346" s="130">
        <v>348.70000000000005</v>
      </c>
      <c r="J346" s="130">
        <v>179.5</v>
      </c>
      <c r="K346" s="130">
        <v>162.30000000000001</v>
      </c>
      <c r="L346" s="131">
        <v>167.6</v>
      </c>
      <c r="M346" s="131">
        <v>173.1</v>
      </c>
      <c r="N346" s="131">
        <v>195.9</v>
      </c>
      <c r="O346" s="131">
        <v>169.7</v>
      </c>
      <c r="P346" s="131">
        <v>175.3</v>
      </c>
      <c r="Q346" s="131">
        <f t="shared" si="12"/>
        <v>4551.7999999999993</v>
      </c>
    </row>
    <row r="347" spans="1:17" x14ac:dyDescent="0.35">
      <c r="A347" s="129" t="s">
        <v>30</v>
      </c>
      <c r="B347" s="129">
        <v>2022</v>
      </c>
      <c r="C347" s="129" t="s">
        <v>43</v>
      </c>
      <c r="D347" s="129" t="str">
        <f t="shared" si="11"/>
        <v>October-2022</v>
      </c>
      <c r="E347" s="129" t="s">
        <v>32</v>
      </c>
      <c r="F347" s="130">
        <v>2284.5</v>
      </c>
      <c r="G347" s="130">
        <v>556.4</v>
      </c>
      <c r="H347" s="130">
        <v>345.6</v>
      </c>
      <c r="I347" s="130">
        <v>353.2</v>
      </c>
      <c r="J347" s="130">
        <v>180.8</v>
      </c>
      <c r="K347" s="130">
        <v>167.4</v>
      </c>
      <c r="L347" s="131">
        <v>170.6</v>
      </c>
      <c r="M347" s="131">
        <v>176.5</v>
      </c>
      <c r="N347" s="131">
        <v>194.9</v>
      </c>
      <c r="O347" s="131">
        <v>173.9</v>
      </c>
      <c r="P347" s="131">
        <v>177.9</v>
      </c>
      <c r="Q347" s="131">
        <f t="shared" si="12"/>
        <v>4603.7999999999993</v>
      </c>
    </row>
    <row r="348" spans="1:17" x14ac:dyDescent="0.35">
      <c r="A348" s="129" t="s">
        <v>33</v>
      </c>
      <c r="B348" s="129">
        <v>2022</v>
      </c>
      <c r="C348" s="129" t="s">
        <v>43</v>
      </c>
      <c r="D348" s="129" t="str">
        <f t="shared" si="11"/>
        <v>October-2022</v>
      </c>
      <c r="E348" s="129" t="s">
        <v>32</v>
      </c>
      <c r="F348" s="130">
        <v>2322.3000000000002</v>
      </c>
      <c r="G348" s="130">
        <v>511.70000000000005</v>
      </c>
      <c r="H348" s="130">
        <v>337.2</v>
      </c>
      <c r="I348" s="130">
        <v>347</v>
      </c>
      <c r="J348" s="130">
        <v>180</v>
      </c>
      <c r="K348" s="130">
        <v>158.80000000000001</v>
      </c>
      <c r="L348" s="131">
        <v>166.3</v>
      </c>
      <c r="M348" s="131">
        <v>171.2</v>
      </c>
      <c r="N348" s="131">
        <v>200.1</v>
      </c>
      <c r="O348" s="131">
        <v>166.8</v>
      </c>
      <c r="P348" s="131">
        <v>175.3</v>
      </c>
      <c r="Q348" s="131">
        <f t="shared" si="12"/>
        <v>4561.4000000000005</v>
      </c>
    </row>
    <row r="349" spans="1:17" x14ac:dyDescent="0.35">
      <c r="A349" s="129" t="s">
        <v>34</v>
      </c>
      <c r="B349" s="129">
        <v>2022</v>
      </c>
      <c r="C349" s="129" t="s">
        <v>43</v>
      </c>
      <c r="D349" s="129" t="str">
        <f t="shared" si="11"/>
        <v>October-2022</v>
      </c>
      <c r="E349" s="129" t="s">
        <v>32</v>
      </c>
      <c r="F349" s="130">
        <v>2297.3000000000002</v>
      </c>
      <c r="G349" s="130">
        <v>538.20000000000005</v>
      </c>
      <c r="H349" s="130">
        <v>341.6</v>
      </c>
      <c r="I349" s="130">
        <v>350.79999999999995</v>
      </c>
      <c r="J349" s="130">
        <v>180.5</v>
      </c>
      <c r="K349" s="130">
        <v>162.9</v>
      </c>
      <c r="L349" s="131">
        <v>168.2</v>
      </c>
      <c r="M349" s="131">
        <v>173.4</v>
      </c>
      <c r="N349" s="131">
        <v>196.3</v>
      </c>
      <c r="O349" s="131">
        <v>170.5</v>
      </c>
      <c r="P349" s="131">
        <v>176.7</v>
      </c>
      <c r="Q349" s="131">
        <f t="shared" si="12"/>
        <v>4579.7</v>
      </c>
    </row>
    <row r="350" spans="1:17" x14ac:dyDescent="0.35">
      <c r="A350" s="129" t="s">
        <v>30</v>
      </c>
      <c r="B350" s="129">
        <v>2022</v>
      </c>
      <c r="C350" s="129" t="s">
        <v>45</v>
      </c>
      <c r="D350" s="129" t="str">
        <f t="shared" si="11"/>
        <v>November-2022</v>
      </c>
      <c r="E350" s="129" t="s">
        <v>32</v>
      </c>
      <c r="F350" s="130">
        <v>2287.6999999999998</v>
      </c>
      <c r="G350" s="130">
        <v>559.29999999999995</v>
      </c>
      <c r="H350" s="130">
        <v>347.3</v>
      </c>
      <c r="I350" s="130">
        <v>355.70000000000005</v>
      </c>
      <c r="J350" s="130">
        <v>181.9</v>
      </c>
      <c r="K350" s="130">
        <v>167.5</v>
      </c>
      <c r="L350" s="131">
        <v>170.8</v>
      </c>
      <c r="M350" s="131">
        <v>176.9</v>
      </c>
      <c r="N350" s="131">
        <v>195.5</v>
      </c>
      <c r="O350" s="131">
        <v>174.6</v>
      </c>
      <c r="P350" s="131">
        <v>177.8</v>
      </c>
      <c r="Q350" s="131">
        <f t="shared" si="12"/>
        <v>4617.2000000000007</v>
      </c>
    </row>
    <row r="351" spans="1:17" x14ac:dyDescent="0.35">
      <c r="A351" s="129" t="s">
        <v>33</v>
      </c>
      <c r="B351" s="129">
        <v>2022</v>
      </c>
      <c r="C351" s="129" t="s">
        <v>45</v>
      </c>
      <c r="D351" s="129" t="str">
        <f t="shared" si="11"/>
        <v>November-2022</v>
      </c>
      <c r="E351" s="129" t="s">
        <v>32</v>
      </c>
      <c r="F351" s="130">
        <v>2314.4</v>
      </c>
      <c r="G351" s="130">
        <v>514.9</v>
      </c>
      <c r="H351" s="130">
        <v>338.70000000000005</v>
      </c>
      <c r="I351" s="130">
        <v>349.6</v>
      </c>
      <c r="J351" s="130">
        <v>180.3</v>
      </c>
      <c r="K351" s="130">
        <v>158.9</v>
      </c>
      <c r="L351" s="131">
        <v>166.7</v>
      </c>
      <c r="M351" s="131">
        <v>171.5</v>
      </c>
      <c r="N351" s="131">
        <v>200.6</v>
      </c>
      <c r="O351" s="131">
        <v>167.4</v>
      </c>
      <c r="P351" s="131">
        <v>174.1</v>
      </c>
      <c r="Q351" s="131">
        <f t="shared" si="12"/>
        <v>4563</v>
      </c>
    </row>
    <row r="352" spans="1:17" x14ac:dyDescent="0.35">
      <c r="A352" s="129" t="s">
        <v>34</v>
      </c>
      <c r="B352" s="129">
        <v>2022</v>
      </c>
      <c r="C352" s="129" t="s">
        <v>45</v>
      </c>
      <c r="D352" s="129" t="str">
        <f t="shared" si="11"/>
        <v>November-2022</v>
      </c>
      <c r="E352" s="129" t="s">
        <v>32</v>
      </c>
      <c r="F352" s="130">
        <v>2296.8000000000002</v>
      </c>
      <c r="G352" s="130">
        <v>541.4</v>
      </c>
      <c r="H352" s="130">
        <v>343.20000000000005</v>
      </c>
      <c r="I352" s="130">
        <v>353.4</v>
      </c>
      <c r="J352" s="130">
        <v>181.3</v>
      </c>
      <c r="K352" s="130">
        <v>163</v>
      </c>
      <c r="L352" s="131">
        <v>168.5</v>
      </c>
      <c r="M352" s="131">
        <v>173.7</v>
      </c>
      <c r="N352" s="131">
        <v>196.9</v>
      </c>
      <c r="O352" s="131">
        <v>171.1</v>
      </c>
      <c r="P352" s="131">
        <v>176.5</v>
      </c>
      <c r="Q352" s="131">
        <f t="shared" si="12"/>
        <v>4589.3000000000011</v>
      </c>
    </row>
    <row r="353" spans="1:17" x14ac:dyDescent="0.35">
      <c r="A353" s="129" t="s">
        <v>30</v>
      </c>
      <c r="B353" s="129">
        <v>2022</v>
      </c>
      <c r="C353" s="129" t="s">
        <v>46</v>
      </c>
      <c r="D353" s="129" t="str">
        <f t="shared" si="11"/>
        <v>December-2022</v>
      </c>
      <c r="E353" s="129" t="s">
        <v>32</v>
      </c>
      <c r="F353" s="130">
        <v>2277.1</v>
      </c>
      <c r="G353" s="130">
        <v>561.79999999999995</v>
      </c>
      <c r="H353" s="130">
        <v>347.1</v>
      </c>
      <c r="I353" s="130">
        <v>359.2</v>
      </c>
      <c r="J353" s="130">
        <v>182.8</v>
      </c>
      <c r="K353" s="130">
        <v>167.8</v>
      </c>
      <c r="L353" s="131">
        <v>171.2</v>
      </c>
      <c r="M353" s="131">
        <v>177.3</v>
      </c>
      <c r="N353" s="131">
        <v>195.9</v>
      </c>
      <c r="O353" s="131">
        <v>175.5</v>
      </c>
      <c r="P353" s="131">
        <v>177.1</v>
      </c>
      <c r="Q353" s="131">
        <f t="shared" si="12"/>
        <v>4615.6999999999989</v>
      </c>
    </row>
    <row r="354" spans="1:17" x14ac:dyDescent="0.35">
      <c r="A354" s="129" t="s">
        <v>33</v>
      </c>
      <c r="B354" s="129">
        <v>2022</v>
      </c>
      <c r="C354" s="129" t="s">
        <v>46</v>
      </c>
      <c r="D354" s="129" t="str">
        <f t="shared" si="11"/>
        <v>December-2022</v>
      </c>
      <c r="E354" s="129" t="s">
        <v>32</v>
      </c>
      <c r="F354" s="130">
        <v>2295.7999999999997</v>
      </c>
      <c r="G354" s="130">
        <v>517.9</v>
      </c>
      <c r="H354" s="130">
        <v>338</v>
      </c>
      <c r="I354" s="130">
        <v>353.2</v>
      </c>
      <c r="J354" s="130">
        <v>180.6</v>
      </c>
      <c r="K354" s="130">
        <v>159.4</v>
      </c>
      <c r="L354" s="131">
        <v>167.1</v>
      </c>
      <c r="M354" s="131">
        <v>171.8</v>
      </c>
      <c r="N354" s="131">
        <v>201.1</v>
      </c>
      <c r="O354" s="131">
        <v>168.2</v>
      </c>
      <c r="P354" s="131">
        <v>174.1</v>
      </c>
      <c r="Q354" s="131">
        <f t="shared" si="12"/>
        <v>4553.0999999999995</v>
      </c>
    </row>
    <row r="355" spans="1:17" x14ac:dyDescent="0.35">
      <c r="A355" s="129" t="s">
        <v>34</v>
      </c>
      <c r="B355" s="129">
        <v>2022</v>
      </c>
      <c r="C355" s="129" t="s">
        <v>46</v>
      </c>
      <c r="D355" s="129" t="str">
        <f t="shared" si="11"/>
        <v>December-2022</v>
      </c>
      <c r="E355" s="129" t="s">
        <v>32</v>
      </c>
      <c r="F355" s="130">
        <v>2283.4</v>
      </c>
      <c r="G355" s="130">
        <v>544</v>
      </c>
      <c r="H355" s="130">
        <v>342.79999999999995</v>
      </c>
      <c r="I355" s="130">
        <v>356.9</v>
      </c>
      <c r="J355" s="130">
        <v>182</v>
      </c>
      <c r="K355" s="130">
        <v>163.4</v>
      </c>
      <c r="L355" s="131">
        <v>168.9</v>
      </c>
      <c r="M355" s="131">
        <v>174.1</v>
      </c>
      <c r="N355" s="131">
        <v>197.3</v>
      </c>
      <c r="O355" s="131">
        <v>172</v>
      </c>
      <c r="P355" s="131">
        <v>175.7</v>
      </c>
      <c r="Q355" s="131">
        <f t="shared" si="12"/>
        <v>4584.8</v>
      </c>
    </row>
    <row r="356" spans="1:17" x14ac:dyDescent="0.35">
      <c r="A356" s="129" t="s">
        <v>30</v>
      </c>
      <c r="B356" s="129">
        <v>2023</v>
      </c>
      <c r="C356" s="129" t="s">
        <v>31</v>
      </c>
      <c r="D356" s="129" t="str">
        <f t="shared" si="11"/>
        <v>January-2023</v>
      </c>
      <c r="E356" s="129" t="s">
        <v>32</v>
      </c>
      <c r="F356" s="130">
        <v>2283.2000000000003</v>
      </c>
      <c r="G356" s="130">
        <v>563.9</v>
      </c>
      <c r="H356" s="130">
        <v>349.29999999999995</v>
      </c>
      <c r="I356" s="130">
        <v>363.1</v>
      </c>
      <c r="J356" s="130">
        <v>183.2</v>
      </c>
      <c r="K356" s="130">
        <v>168.2</v>
      </c>
      <c r="L356" s="131">
        <v>171.8</v>
      </c>
      <c r="M356" s="131">
        <v>177.8</v>
      </c>
      <c r="N356" s="131">
        <v>196.9</v>
      </c>
      <c r="O356" s="131">
        <v>176.5</v>
      </c>
      <c r="P356" s="131">
        <v>177.8</v>
      </c>
      <c r="Q356" s="131">
        <f t="shared" si="12"/>
        <v>4633.8999999999996</v>
      </c>
    </row>
    <row r="357" spans="1:17" x14ac:dyDescent="0.35">
      <c r="A357" s="129" t="s">
        <v>33</v>
      </c>
      <c r="B357" s="129">
        <v>2023</v>
      </c>
      <c r="C357" s="129" t="s">
        <v>31</v>
      </c>
      <c r="D357" s="129" t="str">
        <f t="shared" si="11"/>
        <v>January-2023</v>
      </c>
      <c r="E357" s="129" t="s">
        <v>32</v>
      </c>
      <c r="F357" s="130">
        <v>2310.2000000000003</v>
      </c>
      <c r="G357" s="130">
        <v>520.6</v>
      </c>
      <c r="H357" s="130">
        <v>340.1</v>
      </c>
      <c r="I357" s="130">
        <v>357.3</v>
      </c>
      <c r="J357" s="130">
        <v>180.1</v>
      </c>
      <c r="K357" s="130">
        <v>159.5</v>
      </c>
      <c r="L357" s="131">
        <v>167.8</v>
      </c>
      <c r="M357" s="131">
        <v>171.8</v>
      </c>
      <c r="N357" s="131">
        <v>201.6</v>
      </c>
      <c r="O357" s="131">
        <v>168.9</v>
      </c>
      <c r="P357" s="131">
        <v>174.9</v>
      </c>
      <c r="Q357" s="131">
        <f t="shared" si="12"/>
        <v>4577.9000000000005</v>
      </c>
    </row>
    <row r="358" spans="1:17" x14ac:dyDescent="0.35">
      <c r="A358" s="129" t="s">
        <v>34</v>
      </c>
      <c r="B358" s="129">
        <v>2023</v>
      </c>
      <c r="C358" s="129" t="s">
        <v>31</v>
      </c>
      <c r="D358" s="129" t="str">
        <f t="shared" si="11"/>
        <v>January-2023</v>
      </c>
      <c r="E358" s="129" t="s">
        <v>32</v>
      </c>
      <c r="F358" s="130">
        <v>2292.6999999999998</v>
      </c>
      <c r="G358" s="130">
        <v>546.29999999999995</v>
      </c>
      <c r="H358" s="130">
        <v>345</v>
      </c>
      <c r="I358" s="130">
        <v>360.9</v>
      </c>
      <c r="J358" s="130">
        <v>182</v>
      </c>
      <c r="K358" s="130">
        <v>163.6</v>
      </c>
      <c r="L358" s="131">
        <v>169.5</v>
      </c>
      <c r="M358" s="131">
        <v>174.3</v>
      </c>
      <c r="N358" s="131">
        <v>198.2</v>
      </c>
      <c r="O358" s="131">
        <v>172.8</v>
      </c>
      <c r="P358" s="131">
        <v>176.5</v>
      </c>
      <c r="Q358" s="131">
        <f t="shared" si="12"/>
        <v>4605.3</v>
      </c>
    </row>
    <row r="359" spans="1:17" x14ac:dyDescent="0.35">
      <c r="A359" s="129" t="s">
        <v>30</v>
      </c>
      <c r="B359" s="129">
        <v>2023</v>
      </c>
      <c r="C359" s="129" t="s">
        <v>35</v>
      </c>
      <c r="D359" s="129" t="str">
        <f t="shared" si="11"/>
        <v>February-2023</v>
      </c>
      <c r="E359" s="129" t="s">
        <v>32</v>
      </c>
      <c r="F359" s="130">
        <v>2265.6999999999998</v>
      </c>
      <c r="G359" s="130">
        <v>566.6</v>
      </c>
      <c r="H359" s="130">
        <v>352.1</v>
      </c>
      <c r="I359" s="130">
        <v>367.29999999999995</v>
      </c>
      <c r="J359" s="130">
        <v>181.6</v>
      </c>
      <c r="K359" s="130">
        <v>169</v>
      </c>
      <c r="L359" s="131">
        <v>172.8</v>
      </c>
      <c r="M359" s="131">
        <v>178.5</v>
      </c>
      <c r="N359" s="131">
        <v>198.3</v>
      </c>
      <c r="O359" s="131">
        <v>177.9</v>
      </c>
      <c r="P359" s="131">
        <v>178</v>
      </c>
      <c r="Q359" s="131">
        <f t="shared" si="12"/>
        <v>4629.8</v>
      </c>
    </row>
    <row r="360" spans="1:17" x14ac:dyDescent="0.35">
      <c r="A360" s="129" t="s">
        <v>33</v>
      </c>
      <c r="B360" s="129">
        <v>2023</v>
      </c>
      <c r="C360" s="129" t="s">
        <v>35</v>
      </c>
      <c r="D360" s="129" t="str">
        <f t="shared" si="11"/>
        <v>February-2023</v>
      </c>
      <c r="E360" s="129" t="s">
        <v>32</v>
      </c>
      <c r="F360" s="130">
        <v>2303.1999999999998</v>
      </c>
      <c r="G360" s="130">
        <v>525.5</v>
      </c>
      <c r="H360" s="130">
        <v>342.7</v>
      </c>
      <c r="I360" s="130">
        <v>362.20000000000005</v>
      </c>
      <c r="J360" s="130">
        <v>182.8</v>
      </c>
      <c r="K360" s="130">
        <v>159.80000000000001</v>
      </c>
      <c r="L360" s="131">
        <v>168.4</v>
      </c>
      <c r="M360" s="131">
        <v>172.5</v>
      </c>
      <c r="N360" s="131">
        <v>202.7</v>
      </c>
      <c r="O360" s="131">
        <v>170</v>
      </c>
      <c r="P360" s="131">
        <v>176.3</v>
      </c>
      <c r="Q360" s="131">
        <f t="shared" si="12"/>
        <v>4589.8</v>
      </c>
    </row>
    <row r="361" spans="1:17" x14ac:dyDescent="0.35">
      <c r="A361" s="129" t="s">
        <v>34</v>
      </c>
      <c r="B361" s="129">
        <v>2023</v>
      </c>
      <c r="C361" s="129" t="s">
        <v>35</v>
      </c>
      <c r="D361" s="129" t="str">
        <f t="shared" si="11"/>
        <v>February-2023</v>
      </c>
      <c r="E361" s="129" t="s">
        <v>32</v>
      </c>
      <c r="F361" s="130">
        <v>2279.1</v>
      </c>
      <c r="G361" s="130">
        <v>550</v>
      </c>
      <c r="H361" s="130">
        <v>347.7</v>
      </c>
      <c r="I361" s="130">
        <v>365.4</v>
      </c>
      <c r="J361" s="130">
        <v>182.1</v>
      </c>
      <c r="K361" s="130">
        <v>164.2</v>
      </c>
      <c r="L361" s="131">
        <v>170.3</v>
      </c>
      <c r="M361" s="131">
        <v>175</v>
      </c>
      <c r="N361" s="131">
        <v>199.5</v>
      </c>
      <c r="O361" s="131">
        <v>174.1</v>
      </c>
      <c r="P361" s="131">
        <v>177.2</v>
      </c>
      <c r="Q361" s="131">
        <f t="shared" si="12"/>
        <v>4607.3999999999996</v>
      </c>
    </row>
    <row r="362" spans="1:17" x14ac:dyDescent="0.35">
      <c r="A362" s="129" t="s">
        <v>30</v>
      </c>
      <c r="B362" s="129">
        <v>2023</v>
      </c>
      <c r="C362" s="129" t="s">
        <v>36</v>
      </c>
      <c r="D362" s="129" t="str">
        <f t="shared" si="11"/>
        <v>March-2023</v>
      </c>
      <c r="E362" s="129" t="s">
        <v>32</v>
      </c>
      <c r="F362" s="130">
        <v>2265.8000000000002</v>
      </c>
      <c r="G362" s="130">
        <v>566.6</v>
      </c>
      <c r="H362" s="130">
        <v>352.1</v>
      </c>
      <c r="I362" s="130">
        <v>367.29999999999995</v>
      </c>
      <c r="J362" s="130">
        <v>181.4</v>
      </c>
      <c r="K362" s="130">
        <v>169</v>
      </c>
      <c r="L362" s="131">
        <v>172.8</v>
      </c>
      <c r="M362" s="131">
        <v>178.5</v>
      </c>
      <c r="N362" s="131">
        <v>198.4</v>
      </c>
      <c r="O362" s="131">
        <v>177.9</v>
      </c>
      <c r="P362" s="131">
        <v>178</v>
      </c>
      <c r="Q362" s="131">
        <f t="shared" si="12"/>
        <v>4629.7999999999993</v>
      </c>
    </row>
    <row r="363" spans="1:17" x14ac:dyDescent="0.35">
      <c r="A363" s="129" t="s">
        <v>33</v>
      </c>
      <c r="B363" s="129">
        <v>2023</v>
      </c>
      <c r="C363" s="129" t="s">
        <v>36</v>
      </c>
      <c r="D363" s="129" t="str">
        <f t="shared" si="11"/>
        <v>March-2023</v>
      </c>
      <c r="E363" s="129" t="s">
        <v>32</v>
      </c>
      <c r="F363" s="130">
        <v>2303.4</v>
      </c>
      <c r="G363" s="130">
        <v>525.4</v>
      </c>
      <c r="H363" s="130">
        <v>342.7</v>
      </c>
      <c r="I363" s="130">
        <v>362.3</v>
      </c>
      <c r="J363" s="130">
        <v>182.6</v>
      </c>
      <c r="K363" s="130">
        <v>159.80000000000001</v>
      </c>
      <c r="L363" s="131">
        <v>168.4</v>
      </c>
      <c r="M363" s="131">
        <v>172.5</v>
      </c>
      <c r="N363" s="131">
        <v>202.7</v>
      </c>
      <c r="O363" s="131">
        <v>170</v>
      </c>
      <c r="P363" s="131">
        <v>176.3</v>
      </c>
      <c r="Q363" s="131">
        <f t="shared" si="12"/>
        <v>4589.8</v>
      </c>
    </row>
    <row r="364" spans="1:17" x14ac:dyDescent="0.35">
      <c r="A364" s="129" t="s">
        <v>34</v>
      </c>
      <c r="B364" s="129">
        <v>2023</v>
      </c>
      <c r="C364" s="129" t="s">
        <v>36</v>
      </c>
      <c r="D364" s="129" t="str">
        <f t="shared" si="11"/>
        <v>March-2023</v>
      </c>
      <c r="E364" s="129" t="s">
        <v>32</v>
      </c>
      <c r="F364" s="130">
        <v>2279.1999999999998</v>
      </c>
      <c r="G364" s="130">
        <v>549.9</v>
      </c>
      <c r="H364" s="130">
        <v>347.7</v>
      </c>
      <c r="I364" s="130">
        <v>365.4</v>
      </c>
      <c r="J364" s="130">
        <v>181.9</v>
      </c>
      <c r="K364" s="130">
        <v>164.2</v>
      </c>
      <c r="L364" s="131">
        <v>170.3</v>
      </c>
      <c r="M364" s="131">
        <v>175</v>
      </c>
      <c r="N364" s="131">
        <v>199.5</v>
      </c>
      <c r="O364" s="131">
        <v>174.1</v>
      </c>
      <c r="P364" s="131">
        <v>177.2</v>
      </c>
      <c r="Q364" s="131">
        <f t="shared" si="12"/>
        <v>4607.2000000000007</v>
      </c>
    </row>
    <row r="365" spans="1:17" x14ac:dyDescent="0.35">
      <c r="A365" s="129" t="s">
        <v>30</v>
      </c>
      <c r="B365" s="129">
        <v>2023</v>
      </c>
      <c r="C365" s="129" t="s">
        <v>37</v>
      </c>
      <c r="D365" s="129" t="str">
        <f t="shared" si="11"/>
        <v>April-2023</v>
      </c>
      <c r="E365" s="129" t="s">
        <v>32</v>
      </c>
      <c r="F365" s="130">
        <v>2274.1999999999998</v>
      </c>
      <c r="G365" s="130">
        <v>568.20000000000005</v>
      </c>
      <c r="H365" s="130">
        <v>354.29999999999995</v>
      </c>
      <c r="I365" s="130">
        <v>371</v>
      </c>
      <c r="J365" s="130">
        <v>181.5</v>
      </c>
      <c r="K365" s="130">
        <v>169.4</v>
      </c>
      <c r="L365" s="131">
        <v>173.2</v>
      </c>
      <c r="M365" s="131">
        <v>179.4</v>
      </c>
      <c r="N365" s="131">
        <v>199.5</v>
      </c>
      <c r="O365" s="131">
        <v>178.9</v>
      </c>
      <c r="P365" s="131">
        <v>178.8</v>
      </c>
      <c r="Q365" s="131">
        <f t="shared" si="12"/>
        <v>4649.5999999999995</v>
      </c>
    </row>
    <row r="366" spans="1:17" x14ac:dyDescent="0.35">
      <c r="A366" s="129" t="s">
        <v>33</v>
      </c>
      <c r="B366" s="129">
        <v>2023</v>
      </c>
      <c r="C366" s="129" t="s">
        <v>37</v>
      </c>
      <c r="D366" s="129" t="str">
        <f t="shared" si="11"/>
        <v>April-2023</v>
      </c>
      <c r="E366" s="129" t="s">
        <v>32</v>
      </c>
      <c r="F366" s="130">
        <v>2317.7000000000003</v>
      </c>
      <c r="G366" s="130">
        <v>527.6</v>
      </c>
      <c r="H366" s="130">
        <v>344.79999999999995</v>
      </c>
      <c r="I366" s="130">
        <v>365.9</v>
      </c>
      <c r="J366" s="130">
        <v>182.1</v>
      </c>
      <c r="K366" s="130">
        <v>160.1</v>
      </c>
      <c r="L366" s="131">
        <v>168.8</v>
      </c>
      <c r="M366" s="131">
        <v>174.2</v>
      </c>
      <c r="N366" s="131">
        <v>203.5</v>
      </c>
      <c r="O366" s="131">
        <v>170.9</v>
      </c>
      <c r="P366" s="131">
        <v>177.4</v>
      </c>
      <c r="Q366" s="131">
        <f t="shared" si="12"/>
        <v>4615.6000000000004</v>
      </c>
    </row>
    <row r="367" spans="1:17" x14ac:dyDescent="0.35">
      <c r="A367" s="129" t="s">
        <v>34</v>
      </c>
      <c r="B367" s="129">
        <v>2023</v>
      </c>
      <c r="C367" s="129" t="s">
        <v>37</v>
      </c>
      <c r="D367" s="129" t="str">
        <f t="shared" si="11"/>
        <v>April-2023</v>
      </c>
      <c r="E367" s="129" t="s">
        <v>32</v>
      </c>
      <c r="F367" s="130">
        <v>2289.6000000000004</v>
      </c>
      <c r="G367" s="130">
        <v>551.79999999999995</v>
      </c>
      <c r="H367" s="130">
        <v>349.79999999999995</v>
      </c>
      <c r="I367" s="130">
        <v>369</v>
      </c>
      <c r="J367" s="130">
        <v>181.7</v>
      </c>
      <c r="K367" s="130">
        <v>164.5</v>
      </c>
      <c r="L367" s="131">
        <v>170.7</v>
      </c>
      <c r="M367" s="131">
        <v>176.4</v>
      </c>
      <c r="N367" s="131">
        <v>200.6</v>
      </c>
      <c r="O367" s="131">
        <v>175</v>
      </c>
      <c r="P367" s="131">
        <v>178.1</v>
      </c>
      <c r="Q367" s="131">
        <f t="shared" si="12"/>
        <v>4629.1000000000004</v>
      </c>
    </row>
    <row r="368" spans="1:17" x14ac:dyDescent="0.35">
      <c r="A368" s="129" t="s">
        <v>30</v>
      </c>
      <c r="B368" s="129">
        <v>2023</v>
      </c>
      <c r="C368" s="129" t="s">
        <v>38</v>
      </c>
      <c r="D368" s="129" t="str">
        <f t="shared" si="11"/>
        <v>May-2023</v>
      </c>
      <c r="E368" s="129" t="s">
        <v>32</v>
      </c>
      <c r="F368" s="130">
        <v>2290.7000000000007</v>
      </c>
      <c r="G368" s="130">
        <v>569.90000000000009</v>
      </c>
      <c r="H368" s="130">
        <v>355.4</v>
      </c>
      <c r="I368" s="130">
        <v>372.70000000000005</v>
      </c>
      <c r="J368" s="130">
        <v>182.5</v>
      </c>
      <c r="K368" s="130">
        <v>169.7</v>
      </c>
      <c r="L368" s="131">
        <v>173.8</v>
      </c>
      <c r="M368" s="131">
        <v>180.3</v>
      </c>
      <c r="N368" s="131">
        <v>199.9</v>
      </c>
      <c r="O368" s="131">
        <v>179.5</v>
      </c>
      <c r="P368" s="131">
        <v>179.8</v>
      </c>
      <c r="Q368" s="131">
        <f t="shared" si="12"/>
        <v>4674.4000000000005</v>
      </c>
    </row>
    <row r="369" spans="1:17" x14ac:dyDescent="0.35">
      <c r="A369" s="129" t="s">
        <v>33</v>
      </c>
      <c r="B369" s="129">
        <v>2023</v>
      </c>
      <c r="C369" s="129" t="s">
        <v>38</v>
      </c>
      <c r="D369" s="129" t="str">
        <f t="shared" si="11"/>
        <v>May-2023</v>
      </c>
      <c r="E369" s="129" t="s">
        <v>32</v>
      </c>
      <c r="F369" s="130">
        <v>2335.1</v>
      </c>
      <c r="G369" s="130">
        <v>528.70000000000005</v>
      </c>
      <c r="H369" s="130">
        <v>345.7</v>
      </c>
      <c r="I369" s="130">
        <v>367.79999999999995</v>
      </c>
      <c r="J369" s="130">
        <v>183.4</v>
      </c>
      <c r="K369" s="130">
        <v>160.4</v>
      </c>
      <c r="L369" s="131">
        <v>169.2</v>
      </c>
      <c r="M369" s="131">
        <v>174.8</v>
      </c>
      <c r="N369" s="131">
        <v>204.2</v>
      </c>
      <c r="O369" s="131">
        <v>171.6</v>
      </c>
      <c r="P369" s="131">
        <v>178.2</v>
      </c>
      <c r="Q369" s="131">
        <f t="shared" si="12"/>
        <v>4640.9000000000005</v>
      </c>
    </row>
    <row r="370" spans="1:17" x14ac:dyDescent="0.35">
      <c r="A370" s="129" t="s">
        <v>34</v>
      </c>
      <c r="B370" s="129">
        <v>2023</v>
      </c>
      <c r="C370" s="129" t="s">
        <v>38</v>
      </c>
      <c r="D370" s="129" t="str">
        <f t="shared" si="11"/>
        <v>May-2023</v>
      </c>
      <c r="E370" s="129" t="s">
        <v>32</v>
      </c>
      <c r="F370" s="130">
        <v>2306.9</v>
      </c>
      <c r="G370" s="130">
        <v>553.20000000000005</v>
      </c>
      <c r="H370" s="130">
        <v>350.79999999999995</v>
      </c>
      <c r="I370" s="130">
        <v>370.9</v>
      </c>
      <c r="J370" s="130">
        <v>182.8</v>
      </c>
      <c r="K370" s="130">
        <v>164.8</v>
      </c>
      <c r="L370" s="131">
        <v>171.2</v>
      </c>
      <c r="M370" s="131">
        <v>177.1</v>
      </c>
      <c r="N370" s="131">
        <v>201</v>
      </c>
      <c r="O370" s="131">
        <v>175.7</v>
      </c>
      <c r="P370" s="131">
        <v>179.1</v>
      </c>
      <c r="Q370" s="131">
        <f t="shared" si="12"/>
        <v>4654.4000000000015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zoomScale="99" zoomScaleNormal="99" workbookViewId="0">
      <selection activeCell="E1" sqref="E1"/>
    </sheetView>
  </sheetViews>
  <sheetFormatPr defaultRowHeight="14.5" x14ac:dyDescent="0.35"/>
  <cols>
    <col min="1" max="1" width="12.453125" customWidth="1"/>
    <col min="2" max="2" width="18.08984375" style="7" customWidth="1"/>
    <col min="5" max="5" width="12.453125" bestFit="1" customWidth="1"/>
    <col min="6" max="6" width="18.08984375" bestFit="1" customWidth="1"/>
  </cols>
  <sheetData>
    <row r="1" spans="1:6" x14ac:dyDescent="0.35">
      <c r="A1" s="14" t="s">
        <v>0</v>
      </c>
      <c r="B1" t="s">
        <v>30</v>
      </c>
    </row>
    <row r="3" spans="1:6" x14ac:dyDescent="0.35">
      <c r="A3" s="14" t="s">
        <v>52</v>
      </c>
      <c r="B3" s="7" t="s">
        <v>54</v>
      </c>
      <c r="E3" s="14" t="s">
        <v>52</v>
      </c>
      <c r="F3" s="7" t="s">
        <v>54</v>
      </c>
    </row>
    <row r="4" spans="1:6" x14ac:dyDescent="0.35">
      <c r="A4" s="1">
        <v>2013</v>
      </c>
      <c r="B4" s="19">
        <v>34092.299999999996</v>
      </c>
      <c r="E4" s="1" t="s">
        <v>30</v>
      </c>
      <c r="F4" s="19">
        <v>447205.5</v>
      </c>
    </row>
    <row r="5" spans="1:6" x14ac:dyDescent="0.35">
      <c r="A5" s="1">
        <v>2014</v>
      </c>
      <c r="B5" s="19">
        <v>36377.300000000003</v>
      </c>
      <c r="E5" s="1" t="s">
        <v>34</v>
      </c>
      <c r="F5" s="19">
        <v>443872.99999999977</v>
      </c>
    </row>
    <row r="6" spans="1:6" x14ac:dyDescent="0.35">
      <c r="A6" s="1">
        <v>2015</v>
      </c>
      <c r="B6" s="19">
        <v>38408.599999999991</v>
      </c>
      <c r="E6" s="1" t="s">
        <v>33</v>
      </c>
      <c r="F6" s="19">
        <v>440306.9000000002</v>
      </c>
    </row>
    <row r="7" spans="1:6" x14ac:dyDescent="0.35">
      <c r="A7" s="1">
        <v>2016</v>
      </c>
      <c r="B7" s="19">
        <v>40851.799999999996</v>
      </c>
      <c r="E7" s="1" t="s">
        <v>53</v>
      </c>
      <c r="F7" s="19">
        <v>1331385.3999999999</v>
      </c>
    </row>
    <row r="8" spans="1:6" x14ac:dyDescent="0.35">
      <c r="A8" s="1">
        <v>2017</v>
      </c>
      <c r="B8" s="19">
        <v>42215.900000000009</v>
      </c>
    </row>
    <row r="9" spans="1:6" x14ac:dyDescent="0.35">
      <c r="A9" s="1">
        <v>2018</v>
      </c>
      <c r="B9" s="19">
        <v>43739.30000000001</v>
      </c>
    </row>
    <row r="10" spans="1:6" x14ac:dyDescent="0.35">
      <c r="A10" s="1">
        <v>2019</v>
      </c>
      <c r="B10" s="19">
        <v>41342.199999999997</v>
      </c>
    </row>
    <row r="11" spans="1:6" x14ac:dyDescent="0.35">
      <c r="A11" s="1">
        <v>2020</v>
      </c>
      <c r="B11" s="19">
        <v>42004.2</v>
      </c>
    </row>
    <row r="12" spans="1:6" x14ac:dyDescent="0.35">
      <c r="A12" s="1">
        <v>2021</v>
      </c>
      <c r="B12" s="19">
        <v>50862.099999999991</v>
      </c>
    </row>
    <row r="13" spans="1:6" x14ac:dyDescent="0.35">
      <c r="A13" s="1">
        <v>2022</v>
      </c>
      <c r="B13" s="19">
        <v>54094.3</v>
      </c>
    </row>
    <row r="14" spans="1:6" x14ac:dyDescent="0.35">
      <c r="A14" s="1">
        <v>2023</v>
      </c>
      <c r="B14" s="19">
        <v>23217.5</v>
      </c>
    </row>
    <row r="15" spans="1:6" x14ac:dyDescent="0.35">
      <c r="A15" s="1" t="s">
        <v>53</v>
      </c>
      <c r="B15" s="19">
        <v>447205.5</v>
      </c>
    </row>
    <row r="16" spans="1:6" x14ac:dyDescent="0.35">
      <c r="B16"/>
    </row>
    <row r="22" spans="1:2" x14ac:dyDescent="0.35">
      <c r="B22"/>
    </row>
    <row r="23" spans="1:2" x14ac:dyDescent="0.35">
      <c r="B23"/>
    </row>
    <row r="24" spans="1:2" x14ac:dyDescent="0.35">
      <c r="B24"/>
    </row>
    <row r="25" spans="1:2" x14ac:dyDescent="0.35">
      <c r="B25"/>
    </row>
    <row r="26" spans="1:2" x14ac:dyDescent="0.35">
      <c r="A26" s="1">
        <v>2017</v>
      </c>
      <c r="B26" s="19">
        <v>124696.5</v>
      </c>
    </row>
    <row r="27" spans="1:2" x14ac:dyDescent="0.35">
      <c r="A27" s="1">
        <v>2018</v>
      </c>
      <c r="B27" s="19">
        <v>128722.7</v>
      </c>
    </row>
    <row r="28" spans="1:2" x14ac:dyDescent="0.35">
      <c r="A28" s="1">
        <v>2019</v>
      </c>
      <c r="B28" s="19">
        <v>122509.49999999997</v>
      </c>
    </row>
    <row r="29" spans="1:2" x14ac:dyDescent="0.35">
      <c r="A29" s="1">
        <v>2020</v>
      </c>
      <c r="B29" s="19">
        <v>125141.19999999998</v>
      </c>
    </row>
    <row r="30" spans="1:2" x14ac:dyDescent="0.35">
      <c r="A30" s="1">
        <v>2021</v>
      </c>
      <c r="B30" s="19">
        <v>151708.70000000001</v>
      </c>
    </row>
    <row r="31" spans="1:2" x14ac:dyDescent="0.35">
      <c r="A31" s="1">
        <v>2022</v>
      </c>
      <c r="B31" s="19">
        <v>161369</v>
      </c>
    </row>
    <row r="32" spans="1:2" x14ac:dyDescent="0.35">
      <c r="A32" s="1">
        <v>2023</v>
      </c>
      <c r="B32" s="19">
        <v>69334.899999999994</v>
      </c>
    </row>
    <row r="33" spans="1:2" x14ac:dyDescent="0.35">
      <c r="A33" s="15" t="s">
        <v>53</v>
      </c>
      <c r="B33" s="20">
        <v>1331385.3999999997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P12"/>
  <sheetViews>
    <sheetView tabSelected="1" workbookViewId="0"/>
  </sheetViews>
  <sheetFormatPr defaultRowHeight="14.5" x14ac:dyDescent="0.35"/>
  <cols>
    <col min="1" max="1" width="11.36328125" style="6" bestFit="1" customWidth="1"/>
    <col min="2" max="2" width="4.81640625" style="6" bestFit="1" customWidth="1"/>
    <col min="3" max="3" width="6.453125" style="6" bestFit="1" customWidth="1"/>
    <col min="4" max="4" width="6.81640625" style="6" bestFit="1" customWidth="1"/>
    <col min="5" max="5" width="19.54296875" style="6" bestFit="1" customWidth="1"/>
    <col min="6" max="6" width="7.54296875" style="6" bestFit="1" customWidth="1"/>
    <col min="7" max="7" width="6.26953125" style="6" bestFit="1" customWidth="1"/>
    <col min="8" max="8" width="11.90625" style="6" bestFit="1" customWidth="1"/>
    <col min="9" max="9" width="26.36328125" style="6" bestFit="1" customWidth="1"/>
    <col min="10" max="10" width="24" style="6" bestFit="1" customWidth="1"/>
    <col min="11" max="11" width="9.08984375" style="6" bestFit="1" customWidth="1"/>
    <col min="12" max="12" width="24.7265625" style="6" bestFit="1" customWidth="1"/>
    <col min="13" max="13" width="12.6328125" style="6" bestFit="1" customWidth="1"/>
    <col min="14" max="14" width="12.36328125" style="6" bestFit="1" customWidth="1"/>
    <col min="15" max="15" width="11.453125" style="6" bestFit="1" customWidth="1"/>
  </cols>
  <sheetData>
    <row r="1" spans="1:16" x14ac:dyDescent="0.35">
      <c r="A1" s="9" t="s">
        <v>0</v>
      </c>
      <c r="B1" s="9" t="s">
        <v>1</v>
      </c>
      <c r="C1" s="9" t="s">
        <v>2</v>
      </c>
      <c r="D1" s="9" t="s">
        <v>49</v>
      </c>
      <c r="E1" s="9" t="s">
        <v>19</v>
      </c>
      <c r="F1" s="9" t="s">
        <v>20</v>
      </c>
      <c r="G1" s="9" t="s">
        <v>23</v>
      </c>
      <c r="H1" s="9" t="s">
        <v>21</v>
      </c>
      <c r="I1" s="9" t="s">
        <v>24</v>
      </c>
      <c r="J1" s="9" t="s">
        <v>25</v>
      </c>
      <c r="K1" s="9" t="s">
        <v>26</v>
      </c>
      <c r="L1" s="9" t="s">
        <v>16</v>
      </c>
      <c r="M1" s="9" t="s">
        <v>28</v>
      </c>
      <c r="N1" s="9" t="s">
        <v>29</v>
      </c>
      <c r="O1" s="9" t="s">
        <v>51</v>
      </c>
    </row>
    <row r="2" spans="1:16" x14ac:dyDescent="0.35">
      <c r="A2" s="3" t="s">
        <v>30</v>
      </c>
      <c r="B2" s="3">
        <v>2023</v>
      </c>
      <c r="C2" s="3" t="s">
        <v>38</v>
      </c>
      <c r="D2" s="10">
        <v>2290.7000000000007</v>
      </c>
      <c r="E2" s="10">
        <v>569.90000000000009</v>
      </c>
      <c r="F2" s="10">
        <v>355.4</v>
      </c>
      <c r="G2" s="10">
        <v>372.70000000000005</v>
      </c>
      <c r="H2" s="10">
        <v>182.5</v>
      </c>
      <c r="I2" s="10">
        <v>169.7</v>
      </c>
      <c r="J2" s="10">
        <v>173.8</v>
      </c>
      <c r="K2" s="10">
        <v>180.3</v>
      </c>
      <c r="L2" s="10">
        <v>199.9</v>
      </c>
      <c r="M2" s="10">
        <v>179.5</v>
      </c>
      <c r="N2" s="10">
        <v>179.8</v>
      </c>
      <c r="O2" s="11">
        <f>SUM(D2:M2)</f>
        <v>4674.4000000000005</v>
      </c>
      <c r="P2">
        <f>IF(OR(O2="NA",O2="-"),O3,O2)</f>
        <v>4674.4000000000005</v>
      </c>
    </row>
    <row r="3" spans="1:16" x14ac:dyDescent="0.35">
      <c r="A3" s="3" t="s">
        <v>33</v>
      </c>
      <c r="B3" s="3">
        <v>2023</v>
      </c>
      <c r="C3" s="3" t="s">
        <v>38</v>
      </c>
      <c r="D3" s="10">
        <v>2335.1</v>
      </c>
      <c r="E3" s="10">
        <v>528.70000000000005</v>
      </c>
      <c r="F3" s="10">
        <v>345.7</v>
      </c>
      <c r="G3" s="10">
        <v>367.79999999999995</v>
      </c>
      <c r="H3" s="10">
        <v>183.4</v>
      </c>
      <c r="I3" s="10">
        <v>160.4</v>
      </c>
      <c r="J3" s="10">
        <v>169.2</v>
      </c>
      <c r="K3" s="10">
        <v>174.8</v>
      </c>
      <c r="L3" s="10">
        <v>204.2</v>
      </c>
      <c r="M3" s="10">
        <v>171.6</v>
      </c>
      <c r="N3" s="10">
        <v>178.2</v>
      </c>
      <c r="O3" s="11">
        <f t="shared" ref="O3:O4" si="0">SUM(D3:M3)</f>
        <v>4640.9000000000005</v>
      </c>
    </row>
    <row r="4" spans="1:16" x14ac:dyDescent="0.35">
      <c r="A4" s="3" t="s">
        <v>34</v>
      </c>
      <c r="B4" s="3">
        <v>2023</v>
      </c>
      <c r="C4" s="3" t="s">
        <v>38</v>
      </c>
      <c r="D4" s="10">
        <v>2306.9</v>
      </c>
      <c r="E4" s="10">
        <v>553.20000000000005</v>
      </c>
      <c r="F4" s="10">
        <v>350.79999999999995</v>
      </c>
      <c r="G4" s="10">
        <v>370.9</v>
      </c>
      <c r="H4" s="10">
        <v>182.8</v>
      </c>
      <c r="I4" s="10">
        <v>164.8</v>
      </c>
      <c r="J4" s="10">
        <v>171.2</v>
      </c>
      <c r="K4" s="10">
        <v>177.1</v>
      </c>
      <c r="L4" s="10">
        <v>201</v>
      </c>
      <c r="M4" s="10">
        <v>175.7</v>
      </c>
      <c r="N4" s="10">
        <v>179.1</v>
      </c>
      <c r="O4" s="11">
        <f t="shared" si="0"/>
        <v>4654.4000000000015</v>
      </c>
    </row>
    <row r="5" spans="1:16" x14ac:dyDescent="0.35">
      <c r="A5" s="1"/>
      <c r="B5" s="1"/>
      <c r="C5" s="1"/>
      <c r="N5"/>
      <c r="O5"/>
    </row>
    <row r="6" spans="1:16" x14ac:dyDescent="0.35">
      <c r="A6" s="9" t="s">
        <v>0</v>
      </c>
      <c r="B6" s="9" t="s">
        <v>1</v>
      </c>
      <c r="C6" s="9" t="s">
        <v>2</v>
      </c>
      <c r="D6" s="9" t="s">
        <v>49</v>
      </c>
      <c r="E6" s="9" t="s">
        <v>19</v>
      </c>
      <c r="F6" s="9" t="s">
        <v>20</v>
      </c>
      <c r="G6" s="9" t="s">
        <v>23</v>
      </c>
      <c r="H6" s="9" t="s">
        <v>21</v>
      </c>
      <c r="I6" s="9" t="s">
        <v>24</v>
      </c>
      <c r="J6" s="9" t="s">
        <v>25</v>
      </c>
      <c r="K6" s="9" t="s">
        <v>26</v>
      </c>
      <c r="L6" s="9" t="s">
        <v>16</v>
      </c>
      <c r="M6" s="9" t="s">
        <v>28</v>
      </c>
      <c r="N6"/>
      <c r="O6"/>
    </row>
    <row r="7" spans="1:16" x14ac:dyDescent="0.35">
      <c r="A7" s="3" t="s">
        <v>30</v>
      </c>
      <c r="B7" s="3">
        <v>2023</v>
      </c>
      <c r="C7" s="3" t="s">
        <v>38</v>
      </c>
      <c r="D7" s="12">
        <f>D2/$O$2</f>
        <v>0.4900521992127333</v>
      </c>
      <c r="E7" s="12">
        <f t="shared" ref="E7:L7" si="1">E2/$O$2</f>
        <v>0.12191939072394319</v>
      </c>
      <c r="F7" s="12">
        <f t="shared" si="1"/>
        <v>7.6031148382680117E-2</v>
      </c>
      <c r="G7" s="12">
        <f t="shared" si="1"/>
        <v>7.9732158137942835E-2</v>
      </c>
      <c r="H7" s="12">
        <f t="shared" si="1"/>
        <v>3.9042443950025665E-2</v>
      </c>
      <c r="I7" s="12">
        <f t="shared" si="1"/>
        <v>3.6304124593530711E-2</v>
      </c>
      <c r="J7" s="12">
        <f t="shared" si="1"/>
        <v>3.7181242512408008E-2</v>
      </c>
      <c r="K7" s="12">
        <f t="shared" si="1"/>
        <v>3.8571795310628099E-2</v>
      </c>
      <c r="L7" s="12">
        <f t="shared" si="1"/>
        <v>4.2764846825260994E-2</v>
      </c>
      <c r="M7" s="12">
        <f>M2/$O$2</f>
        <v>3.8400650350847165E-2</v>
      </c>
      <c r="N7"/>
      <c r="O7"/>
    </row>
    <row r="8" spans="1:16" x14ac:dyDescent="0.35">
      <c r="A8" s="3" t="s">
        <v>33</v>
      </c>
      <c r="B8" s="3">
        <v>2023</v>
      </c>
      <c r="C8" s="3" t="s">
        <v>38</v>
      </c>
      <c r="D8" s="12">
        <f>D3/$O$3</f>
        <v>0.50315671529229233</v>
      </c>
      <c r="E8" s="12">
        <f t="shared" ref="E8:M8" si="2">E3/$O$3</f>
        <v>0.11392186860307267</v>
      </c>
      <c r="F8" s="12">
        <f t="shared" si="2"/>
        <v>7.4489861880238734E-2</v>
      </c>
      <c r="G8" s="12">
        <f t="shared" si="2"/>
        <v>7.9251869249499007E-2</v>
      </c>
      <c r="H8" s="12">
        <f t="shared" si="2"/>
        <v>3.9518196901463076E-2</v>
      </c>
      <c r="I8" s="12">
        <f t="shared" si="2"/>
        <v>3.4562261630287229E-2</v>
      </c>
      <c r="J8" s="12">
        <f t="shared" si="2"/>
        <v>3.6458445560128415E-2</v>
      </c>
      <c r="K8" s="12">
        <f t="shared" si="2"/>
        <v>3.7665108060936453E-2</v>
      </c>
      <c r="L8" s="12">
        <f t="shared" si="2"/>
        <v>4.4000086190178624E-2</v>
      </c>
      <c r="M8" s="12">
        <f t="shared" si="2"/>
        <v>3.6975586631903291E-2</v>
      </c>
      <c r="N8"/>
      <c r="O8"/>
    </row>
    <row r="9" spans="1:16" x14ac:dyDescent="0.35">
      <c r="A9" s="3" t="s">
        <v>34</v>
      </c>
      <c r="B9" s="3">
        <v>2023</v>
      </c>
      <c r="C9" s="3" t="s">
        <v>38</v>
      </c>
      <c r="D9" s="12">
        <f>D4/$O$4</f>
        <v>0.49563853557923671</v>
      </c>
      <c r="E9" s="12">
        <f t="shared" ref="E9:M9" si="3">E4/$O$4</f>
        <v>0.11885527672739771</v>
      </c>
      <c r="F9" s="12">
        <f t="shared" si="3"/>
        <v>7.5369542798212411E-2</v>
      </c>
      <c r="G9" s="12">
        <f t="shared" si="3"/>
        <v>7.9688037126160169E-2</v>
      </c>
      <c r="H9" s="12">
        <f t="shared" si="3"/>
        <v>3.9274664833276032E-2</v>
      </c>
      <c r="I9" s="12">
        <f t="shared" si="3"/>
        <v>3.540735647988999E-2</v>
      </c>
      <c r="J9" s="12">
        <f t="shared" si="3"/>
        <v>3.6782399449982801E-2</v>
      </c>
      <c r="K9" s="12">
        <f t="shared" si="3"/>
        <v>3.8050017188037112E-2</v>
      </c>
      <c r="L9" s="12">
        <f t="shared" si="3"/>
        <v>4.3184943279477472E-2</v>
      </c>
      <c r="M9" s="12">
        <f t="shared" si="3"/>
        <v>3.7749226538329309E-2</v>
      </c>
      <c r="N9"/>
      <c r="O9"/>
    </row>
    <row r="10" spans="1:16" x14ac:dyDescent="0.35">
      <c r="N10"/>
      <c r="O10"/>
    </row>
    <row r="11" spans="1:16" x14ac:dyDescent="0.35">
      <c r="A11" s="13" t="s">
        <v>129</v>
      </c>
      <c r="B11" s="1" t="s">
        <v>130</v>
      </c>
      <c r="N11"/>
      <c r="O11"/>
    </row>
    <row r="12" spans="1:16" x14ac:dyDescent="0.35">
      <c r="B12" s="1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2:E19"/>
  <sheetViews>
    <sheetView workbookViewId="0">
      <selection activeCell="B2" sqref="B2"/>
    </sheetView>
  </sheetViews>
  <sheetFormatPr defaultRowHeight="14.5" x14ac:dyDescent="0.35"/>
  <cols>
    <col min="1" max="1" width="12.36328125" customWidth="1"/>
    <col min="2" max="2" width="17.90625" style="7" customWidth="1"/>
    <col min="3" max="3" width="11.36328125" style="7" customWidth="1"/>
    <col min="4" max="4" width="8.81640625" style="7" customWidth="1"/>
    <col min="5" max="5" width="10.7265625" style="7" customWidth="1"/>
    <col min="6" max="12" width="4.81640625" customWidth="1"/>
    <col min="13" max="13" width="10.7265625" bestFit="1" customWidth="1"/>
  </cols>
  <sheetData>
    <row r="2" spans="1:5" x14ac:dyDescent="0.35">
      <c r="A2" s="14" t="s">
        <v>0</v>
      </c>
      <c r="B2" t="s">
        <v>34</v>
      </c>
    </row>
    <row r="4" spans="1:5" x14ac:dyDescent="0.35">
      <c r="A4" s="14" t="s">
        <v>52</v>
      </c>
      <c r="B4" s="7" t="s">
        <v>54</v>
      </c>
      <c r="C4"/>
      <c r="D4"/>
      <c r="E4"/>
    </row>
    <row r="5" spans="1:5" x14ac:dyDescent="0.35">
      <c r="A5" s="1">
        <v>2017</v>
      </c>
      <c r="B5" s="19">
        <v>41620.800000000003</v>
      </c>
      <c r="C5"/>
      <c r="D5"/>
      <c r="E5"/>
    </row>
    <row r="6" spans="1:5" x14ac:dyDescent="0.35">
      <c r="A6" s="1">
        <v>2018</v>
      </c>
      <c r="B6" s="19">
        <v>43000.499999999993</v>
      </c>
      <c r="C6"/>
      <c r="D6"/>
      <c r="E6"/>
    </row>
    <row r="7" spans="1:5" x14ac:dyDescent="0.35">
      <c r="A7" s="1">
        <v>2019</v>
      </c>
      <c r="B7" s="19">
        <v>40846.6</v>
      </c>
      <c r="C7"/>
      <c r="D7"/>
      <c r="E7"/>
    </row>
    <row r="8" spans="1:5" x14ac:dyDescent="0.35">
      <c r="A8" s="1">
        <v>2020</v>
      </c>
      <c r="B8" s="19">
        <v>41698.499999999993</v>
      </c>
      <c r="C8"/>
      <c r="D8"/>
      <c r="E8"/>
    </row>
    <row r="9" spans="1:5" x14ac:dyDescent="0.35">
      <c r="A9" s="1">
        <v>2021</v>
      </c>
      <c r="B9" s="19">
        <v>50548.700000000004</v>
      </c>
      <c r="C9"/>
      <c r="D9"/>
      <c r="E9"/>
    </row>
    <row r="10" spans="1:5" x14ac:dyDescent="0.35">
      <c r="A10" s="1">
        <v>2022</v>
      </c>
      <c r="B10" s="26">
        <v>53773.500000000015</v>
      </c>
      <c r="C10"/>
      <c r="D10"/>
      <c r="E10"/>
    </row>
    <row r="11" spans="1:5" x14ac:dyDescent="0.35">
      <c r="A11" s="1">
        <v>2023</v>
      </c>
      <c r="B11" s="19">
        <v>23103.4</v>
      </c>
      <c r="C11"/>
      <c r="D11"/>
      <c r="E11"/>
    </row>
    <row r="12" spans="1:5" x14ac:dyDescent="0.35">
      <c r="A12" s="1" t="s">
        <v>53</v>
      </c>
      <c r="B12" s="19">
        <v>294592.00000000006</v>
      </c>
      <c r="C12"/>
      <c r="D12"/>
      <c r="E12"/>
    </row>
    <row r="13" spans="1:5" x14ac:dyDescent="0.35">
      <c r="B13"/>
      <c r="C13"/>
      <c r="D13"/>
      <c r="E13"/>
    </row>
    <row r="14" spans="1:5" x14ac:dyDescent="0.35">
      <c r="B14"/>
      <c r="C14"/>
      <c r="D14"/>
      <c r="E14"/>
    </row>
    <row r="15" spans="1:5" x14ac:dyDescent="0.35">
      <c r="B15"/>
      <c r="C15"/>
      <c r="D15"/>
      <c r="E15"/>
    </row>
    <row r="16" spans="1:5" x14ac:dyDescent="0.35">
      <c r="B16"/>
      <c r="C16"/>
      <c r="D16"/>
      <c r="E16"/>
    </row>
    <row r="17" spans="1:5" x14ac:dyDescent="0.35">
      <c r="B17"/>
      <c r="C17"/>
      <c r="D17"/>
      <c r="E17"/>
    </row>
    <row r="18" spans="1:5" x14ac:dyDescent="0.35">
      <c r="A18" s="41" t="s">
        <v>87</v>
      </c>
      <c r="B18" s="63" t="s">
        <v>132</v>
      </c>
    </row>
    <row r="19" spans="1:5" x14ac:dyDescent="0.35">
      <c r="B19" s="63" t="s">
        <v>133</v>
      </c>
    </row>
  </sheetData>
  <conditionalFormatting pivot="1" sqref="B5:B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5"/>
  <sheetViews>
    <sheetView workbookViewId="0">
      <pane ySplit="1" topLeftCell="A26" activePane="bottomLeft" state="frozen"/>
      <selection pane="bottomLeft" activeCell="A38" sqref="A38"/>
    </sheetView>
  </sheetViews>
  <sheetFormatPr defaultRowHeight="14.5" x14ac:dyDescent="0.35"/>
  <cols>
    <col min="4" max="4" width="21.08984375" customWidth="1"/>
    <col min="5" max="5" width="18" style="7" customWidth="1"/>
    <col min="6" max="18" width="8.7265625" style="7"/>
    <col min="19" max="19" width="18.81640625" customWidth="1"/>
    <col min="20" max="20" width="12.1796875" customWidth="1"/>
    <col min="21" max="21" width="37.7265625" bestFit="1" customWidth="1"/>
    <col min="22" max="22" width="17.6328125" customWidth="1"/>
    <col min="23" max="23" width="24.08984375" bestFit="1" customWidth="1"/>
    <col min="24" max="24" width="9.90625" customWidth="1"/>
    <col min="25" max="25" width="16.36328125" bestFit="1" customWidth="1"/>
    <col min="26" max="26" width="22.54296875" customWidth="1"/>
    <col min="27" max="27" width="27.7265625" customWidth="1"/>
    <col min="28" max="28" width="24.1796875" bestFit="1" customWidth="1"/>
    <col min="29" max="29" width="11.81640625" customWidth="1"/>
    <col min="30" max="30" width="25" customWidth="1"/>
    <col min="31" max="31" width="27.90625" bestFit="1" customWidth="1"/>
  </cols>
  <sheetData>
    <row r="1" spans="1:31" x14ac:dyDescent="0.35">
      <c r="A1" s="90" t="s">
        <v>0</v>
      </c>
      <c r="B1" s="91" t="s">
        <v>1</v>
      </c>
      <c r="C1" s="91" t="s">
        <v>2</v>
      </c>
      <c r="D1" s="66" t="s">
        <v>58</v>
      </c>
      <c r="E1" s="99" t="s">
        <v>3</v>
      </c>
      <c r="F1" s="99" t="s">
        <v>4</v>
      </c>
      <c r="G1" s="99" t="s">
        <v>5</v>
      </c>
      <c r="H1" s="99" t="s">
        <v>6</v>
      </c>
      <c r="I1" s="99" t="s">
        <v>7</v>
      </c>
      <c r="J1" s="99" t="s">
        <v>8</v>
      </c>
      <c r="K1" s="99" t="s">
        <v>9</v>
      </c>
      <c r="L1" s="99" t="s">
        <v>10</v>
      </c>
      <c r="M1" s="99" t="s">
        <v>11</v>
      </c>
      <c r="N1" s="99" t="s">
        <v>12</v>
      </c>
      <c r="O1" s="99" t="s">
        <v>13</v>
      </c>
      <c r="P1" s="99" t="s">
        <v>14</v>
      </c>
      <c r="Q1" s="99" t="s">
        <v>15</v>
      </c>
      <c r="R1" s="100" t="s">
        <v>50</v>
      </c>
      <c r="S1" t="s">
        <v>73</v>
      </c>
      <c r="T1" t="s">
        <v>81</v>
      </c>
      <c r="U1" t="s">
        <v>83</v>
      </c>
      <c r="V1" t="s">
        <v>76</v>
      </c>
      <c r="W1" t="s">
        <v>84</v>
      </c>
      <c r="X1" t="s">
        <v>74</v>
      </c>
      <c r="Y1" t="s">
        <v>78</v>
      </c>
      <c r="Z1" t="s">
        <v>75</v>
      </c>
      <c r="AA1" t="s">
        <v>82</v>
      </c>
      <c r="AB1" t="s">
        <v>79</v>
      </c>
      <c r="AC1" t="s">
        <v>77</v>
      </c>
      <c r="AD1" t="s">
        <v>72</v>
      </c>
      <c r="AE1" t="s">
        <v>80</v>
      </c>
    </row>
    <row r="2" spans="1:31" x14ac:dyDescent="0.35">
      <c r="A2" s="92" t="s">
        <v>30</v>
      </c>
      <c r="B2" s="93">
        <v>2022</v>
      </c>
      <c r="C2" s="93" t="s">
        <v>39</v>
      </c>
      <c r="D2" s="89" t="s">
        <v>65</v>
      </c>
      <c r="E2" s="101">
        <v>153.80000000000001</v>
      </c>
      <c r="F2" s="101">
        <v>217.2</v>
      </c>
      <c r="G2" s="101">
        <v>169.6</v>
      </c>
      <c r="H2" s="101">
        <v>165.4</v>
      </c>
      <c r="I2" s="101">
        <v>208.1</v>
      </c>
      <c r="J2" s="101">
        <v>165.8</v>
      </c>
      <c r="K2" s="101">
        <v>167.3</v>
      </c>
      <c r="L2" s="101">
        <v>164.6</v>
      </c>
      <c r="M2" s="101">
        <v>119.1</v>
      </c>
      <c r="N2" s="101">
        <v>188.9</v>
      </c>
      <c r="O2" s="101">
        <v>174.2</v>
      </c>
      <c r="P2" s="101">
        <v>181.9</v>
      </c>
      <c r="Q2" s="101">
        <v>172.4</v>
      </c>
      <c r="R2" s="102">
        <v>2248.3000000000002</v>
      </c>
      <c r="S2" s="34">
        <v>7604.8999999999978</v>
      </c>
      <c r="T2" s="34">
        <v>7277.5000000000009</v>
      </c>
      <c r="U2" s="34">
        <v>6832.4000000000005</v>
      </c>
      <c r="V2" s="34">
        <v>6652.8999999999978</v>
      </c>
      <c r="W2" s="34">
        <v>6395.4000000000024</v>
      </c>
      <c r="X2" s="34">
        <v>6353.8999999999978</v>
      </c>
      <c r="Y2" s="34">
        <v>6328.699999999998</v>
      </c>
      <c r="Z2" s="34">
        <v>6224.3</v>
      </c>
      <c r="AA2" s="34">
        <v>6116.9</v>
      </c>
      <c r="AB2" s="34">
        <v>6116.2999999999993</v>
      </c>
      <c r="AC2" s="34">
        <v>6036.5999999999995</v>
      </c>
      <c r="AD2" s="34">
        <v>6028.9999999999991</v>
      </c>
      <c r="AE2" s="34">
        <v>4369.0999999999995</v>
      </c>
    </row>
    <row r="3" spans="1:31" x14ac:dyDescent="0.35">
      <c r="A3" s="92" t="s">
        <v>33</v>
      </c>
      <c r="B3" s="93">
        <v>2022</v>
      </c>
      <c r="C3" s="93" t="s">
        <v>39</v>
      </c>
      <c r="D3" s="89" t="s">
        <v>65</v>
      </c>
      <c r="E3" s="101">
        <v>157.5</v>
      </c>
      <c r="F3" s="101">
        <v>223.4</v>
      </c>
      <c r="G3" s="101">
        <v>172.8</v>
      </c>
      <c r="H3" s="101">
        <v>166.4</v>
      </c>
      <c r="I3" s="101">
        <v>188.6</v>
      </c>
      <c r="J3" s="101">
        <v>174.1</v>
      </c>
      <c r="K3" s="101">
        <v>211.5</v>
      </c>
      <c r="L3" s="101">
        <v>163.6</v>
      </c>
      <c r="M3" s="101">
        <v>121.4</v>
      </c>
      <c r="N3" s="101">
        <v>183.5</v>
      </c>
      <c r="O3" s="101">
        <v>159.1</v>
      </c>
      <c r="P3" s="101">
        <v>186.3</v>
      </c>
      <c r="Q3" s="101">
        <v>179.3</v>
      </c>
      <c r="R3" s="102">
        <v>2287.5</v>
      </c>
    </row>
    <row r="4" spans="1:31" x14ac:dyDescent="0.35">
      <c r="A4" s="92" t="s">
        <v>34</v>
      </c>
      <c r="B4" s="93">
        <v>2022</v>
      </c>
      <c r="C4" s="93" t="s">
        <v>39</v>
      </c>
      <c r="D4" s="89" t="s">
        <v>65</v>
      </c>
      <c r="E4" s="101">
        <v>155</v>
      </c>
      <c r="F4" s="101">
        <v>219.4</v>
      </c>
      <c r="G4" s="101">
        <v>170.8</v>
      </c>
      <c r="H4" s="101">
        <v>165.8</v>
      </c>
      <c r="I4" s="101">
        <v>200.9</v>
      </c>
      <c r="J4" s="101">
        <v>169.7</v>
      </c>
      <c r="K4" s="101">
        <v>182.3</v>
      </c>
      <c r="L4" s="101">
        <v>164.3</v>
      </c>
      <c r="M4" s="101">
        <v>119.9</v>
      </c>
      <c r="N4" s="101">
        <v>187.1</v>
      </c>
      <c r="O4" s="101">
        <v>167.9</v>
      </c>
      <c r="P4" s="101">
        <v>183.9</v>
      </c>
      <c r="Q4" s="101">
        <v>174.9</v>
      </c>
      <c r="R4" s="102">
        <v>2261.9</v>
      </c>
    </row>
    <row r="5" spans="1:31" x14ac:dyDescent="0.35">
      <c r="A5" s="94" t="s">
        <v>30</v>
      </c>
      <c r="B5" s="95">
        <v>2022</v>
      </c>
      <c r="C5" s="95" t="s">
        <v>40</v>
      </c>
      <c r="D5" s="17" t="s">
        <v>64</v>
      </c>
      <c r="E5" s="62">
        <v>155.19999999999999</v>
      </c>
      <c r="F5" s="62">
        <v>210.8</v>
      </c>
      <c r="G5" s="62">
        <v>174.3</v>
      </c>
      <c r="H5" s="62">
        <v>166.3</v>
      </c>
      <c r="I5" s="62">
        <v>202.2</v>
      </c>
      <c r="J5" s="62">
        <v>169.6</v>
      </c>
      <c r="K5" s="62">
        <v>168.6</v>
      </c>
      <c r="L5" s="62">
        <v>164.4</v>
      </c>
      <c r="M5" s="62">
        <v>119.2</v>
      </c>
      <c r="N5" s="62">
        <v>191.8</v>
      </c>
      <c r="O5" s="62">
        <v>174.5</v>
      </c>
      <c r="P5" s="62">
        <v>183.1</v>
      </c>
      <c r="Q5" s="62">
        <v>172.5</v>
      </c>
      <c r="R5" s="103">
        <v>2252.5</v>
      </c>
      <c r="S5" s="47" t="s">
        <v>73</v>
      </c>
      <c r="T5" s="34">
        <v>7604.8999999999978</v>
      </c>
      <c r="V5" t="s">
        <v>4</v>
      </c>
      <c r="W5" s="34">
        <v>7604.8999999999978</v>
      </c>
    </row>
    <row r="6" spans="1:31" x14ac:dyDescent="0.35">
      <c r="A6" s="94" t="s">
        <v>33</v>
      </c>
      <c r="B6" s="95">
        <v>2022</v>
      </c>
      <c r="C6" s="95" t="s">
        <v>40</v>
      </c>
      <c r="D6" s="17" t="s">
        <v>64</v>
      </c>
      <c r="E6" s="62">
        <v>159.30000000000001</v>
      </c>
      <c r="F6" s="62">
        <v>217.1</v>
      </c>
      <c r="G6" s="62">
        <v>176.6</v>
      </c>
      <c r="H6" s="62">
        <v>167.1</v>
      </c>
      <c r="I6" s="62">
        <v>184.8</v>
      </c>
      <c r="J6" s="62">
        <v>179.5</v>
      </c>
      <c r="K6" s="62">
        <v>208.5</v>
      </c>
      <c r="L6" s="62">
        <v>164</v>
      </c>
      <c r="M6" s="62">
        <v>121.5</v>
      </c>
      <c r="N6" s="62">
        <v>186.3</v>
      </c>
      <c r="O6" s="62">
        <v>159.80000000000001</v>
      </c>
      <c r="P6" s="62">
        <v>187.7</v>
      </c>
      <c r="Q6" s="62">
        <v>179.4</v>
      </c>
      <c r="R6" s="103">
        <v>2291.6</v>
      </c>
      <c r="S6" s="47" t="s">
        <v>81</v>
      </c>
      <c r="T6" s="34">
        <v>7277.5000000000009</v>
      </c>
      <c r="V6" t="s">
        <v>12</v>
      </c>
      <c r="W6" s="34">
        <v>7277.5000000000009</v>
      </c>
    </row>
    <row r="7" spans="1:31" x14ac:dyDescent="0.35">
      <c r="A7" s="94" t="s">
        <v>34</v>
      </c>
      <c r="B7" s="95">
        <v>2022</v>
      </c>
      <c r="C7" s="95" t="s">
        <v>40</v>
      </c>
      <c r="D7" s="17" t="s">
        <v>64</v>
      </c>
      <c r="E7" s="62">
        <v>156.5</v>
      </c>
      <c r="F7" s="62">
        <v>213</v>
      </c>
      <c r="G7" s="62">
        <v>175.2</v>
      </c>
      <c r="H7" s="62">
        <v>166.6</v>
      </c>
      <c r="I7" s="62">
        <v>195.8</v>
      </c>
      <c r="J7" s="62">
        <v>174.2</v>
      </c>
      <c r="K7" s="62">
        <v>182.1</v>
      </c>
      <c r="L7" s="62">
        <v>164.3</v>
      </c>
      <c r="M7" s="62">
        <v>120</v>
      </c>
      <c r="N7" s="62">
        <v>190</v>
      </c>
      <c r="O7" s="62">
        <v>168.4</v>
      </c>
      <c r="P7" s="62">
        <v>185.2</v>
      </c>
      <c r="Q7" s="62">
        <v>175</v>
      </c>
      <c r="R7" s="103">
        <v>2266.3000000000002</v>
      </c>
      <c r="S7" s="47" t="s">
        <v>83</v>
      </c>
      <c r="T7" s="34">
        <v>6832.4000000000005</v>
      </c>
      <c r="V7" t="s">
        <v>14</v>
      </c>
      <c r="W7" s="34">
        <v>6832.4000000000005</v>
      </c>
    </row>
    <row r="8" spans="1:31" x14ac:dyDescent="0.35">
      <c r="A8" s="94" t="s">
        <v>30</v>
      </c>
      <c r="B8" s="95">
        <v>2022</v>
      </c>
      <c r="C8" s="95" t="s">
        <v>41</v>
      </c>
      <c r="D8" s="17" t="s">
        <v>60</v>
      </c>
      <c r="E8" s="62">
        <v>159.5</v>
      </c>
      <c r="F8" s="62">
        <v>204.1</v>
      </c>
      <c r="G8" s="62">
        <v>168.3</v>
      </c>
      <c r="H8" s="62">
        <v>167.9</v>
      </c>
      <c r="I8" s="62">
        <v>198.1</v>
      </c>
      <c r="J8" s="62">
        <v>169.2</v>
      </c>
      <c r="K8" s="62">
        <v>173.1</v>
      </c>
      <c r="L8" s="62">
        <v>167.1</v>
      </c>
      <c r="M8" s="62">
        <v>120.2</v>
      </c>
      <c r="N8" s="62">
        <v>195.6</v>
      </c>
      <c r="O8" s="62">
        <v>174.8</v>
      </c>
      <c r="P8" s="62">
        <v>184</v>
      </c>
      <c r="Q8" s="62">
        <v>173.9</v>
      </c>
      <c r="R8" s="103">
        <v>2255.7999999999997</v>
      </c>
      <c r="S8" s="47" t="s">
        <v>76</v>
      </c>
      <c r="T8" s="34">
        <v>6652.8999999999978</v>
      </c>
      <c r="V8" t="s">
        <v>7</v>
      </c>
      <c r="W8" s="34">
        <v>6652.8999999999978</v>
      </c>
    </row>
    <row r="9" spans="1:31" x14ac:dyDescent="0.35">
      <c r="A9" s="94" t="s">
        <v>33</v>
      </c>
      <c r="B9" s="95">
        <v>2022</v>
      </c>
      <c r="C9" s="95" t="s">
        <v>41</v>
      </c>
      <c r="D9" s="17" t="s">
        <v>60</v>
      </c>
      <c r="E9" s="62">
        <v>162.1</v>
      </c>
      <c r="F9" s="62">
        <v>210.9</v>
      </c>
      <c r="G9" s="62">
        <v>170.6</v>
      </c>
      <c r="H9" s="62">
        <v>168.4</v>
      </c>
      <c r="I9" s="62">
        <v>182.5</v>
      </c>
      <c r="J9" s="62">
        <v>177.1</v>
      </c>
      <c r="K9" s="62">
        <v>213.1</v>
      </c>
      <c r="L9" s="62">
        <v>167.3</v>
      </c>
      <c r="M9" s="62">
        <v>122.2</v>
      </c>
      <c r="N9" s="62">
        <v>189.7</v>
      </c>
      <c r="O9" s="62">
        <v>160.5</v>
      </c>
      <c r="P9" s="62">
        <v>188.9</v>
      </c>
      <c r="Q9" s="62">
        <v>180.4</v>
      </c>
      <c r="R9" s="103">
        <v>2293.6999999999998</v>
      </c>
      <c r="S9" s="47" t="s">
        <v>84</v>
      </c>
      <c r="T9" s="34">
        <v>6395.4000000000024</v>
      </c>
      <c r="V9" t="s">
        <v>15</v>
      </c>
      <c r="W9" s="34">
        <v>6395.4000000000024</v>
      </c>
    </row>
    <row r="10" spans="1:31" x14ac:dyDescent="0.35">
      <c r="A10" s="94" t="s">
        <v>34</v>
      </c>
      <c r="B10" s="95">
        <v>2022</v>
      </c>
      <c r="C10" s="95" t="s">
        <v>41</v>
      </c>
      <c r="D10" s="17" t="s">
        <v>60</v>
      </c>
      <c r="E10" s="62">
        <v>160.30000000000001</v>
      </c>
      <c r="F10" s="62">
        <v>206.5</v>
      </c>
      <c r="G10" s="62">
        <v>169.2</v>
      </c>
      <c r="H10" s="62">
        <v>168.1</v>
      </c>
      <c r="I10" s="62">
        <v>192.4</v>
      </c>
      <c r="J10" s="62">
        <v>172.9</v>
      </c>
      <c r="K10" s="62">
        <v>186.7</v>
      </c>
      <c r="L10" s="62">
        <v>167.2</v>
      </c>
      <c r="M10" s="62">
        <v>120.9</v>
      </c>
      <c r="N10" s="62">
        <v>193.6</v>
      </c>
      <c r="O10" s="62">
        <v>168.8</v>
      </c>
      <c r="P10" s="62">
        <v>186.3</v>
      </c>
      <c r="Q10" s="62">
        <v>176.3</v>
      </c>
      <c r="R10" s="103">
        <v>2269.2000000000003</v>
      </c>
      <c r="S10" s="47" t="s">
        <v>74</v>
      </c>
      <c r="T10" s="34">
        <v>6353.8999999999978</v>
      </c>
      <c r="V10" t="s">
        <v>5</v>
      </c>
      <c r="W10" s="34">
        <v>6353.8999999999978</v>
      </c>
    </row>
    <row r="11" spans="1:31" x14ac:dyDescent="0.35">
      <c r="A11" s="94" t="s">
        <v>30</v>
      </c>
      <c r="B11" s="95">
        <v>2022</v>
      </c>
      <c r="C11" s="95" t="s">
        <v>42</v>
      </c>
      <c r="D11" s="17" t="s">
        <v>70</v>
      </c>
      <c r="E11" s="62">
        <v>162.9</v>
      </c>
      <c r="F11" s="62">
        <v>206.7</v>
      </c>
      <c r="G11" s="62">
        <v>169</v>
      </c>
      <c r="H11" s="62">
        <v>169.5</v>
      </c>
      <c r="I11" s="62">
        <v>194.1</v>
      </c>
      <c r="J11" s="62">
        <v>164.1</v>
      </c>
      <c r="K11" s="62">
        <v>176.9</v>
      </c>
      <c r="L11" s="62">
        <v>169</v>
      </c>
      <c r="M11" s="62">
        <v>120.8</v>
      </c>
      <c r="N11" s="62">
        <v>199.1</v>
      </c>
      <c r="O11" s="62">
        <v>175.4</v>
      </c>
      <c r="P11" s="62">
        <v>184.8</v>
      </c>
      <c r="Q11" s="62">
        <v>175.5</v>
      </c>
      <c r="R11" s="103">
        <v>2267.8000000000002</v>
      </c>
      <c r="S11" s="47" t="s">
        <v>78</v>
      </c>
      <c r="T11" s="34">
        <v>6328.699999999998</v>
      </c>
      <c r="V11" t="s">
        <v>9</v>
      </c>
      <c r="W11" s="34">
        <v>6328.699999999998</v>
      </c>
    </row>
    <row r="12" spans="1:31" x14ac:dyDescent="0.35">
      <c r="A12" s="94" t="s">
        <v>33</v>
      </c>
      <c r="B12" s="95">
        <v>2022</v>
      </c>
      <c r="C12" s="95" t="s">
        <v>42</v>
      </c>
      <c r="D12" s="17" t="s">
        <v>70</v>
      </c>
      <c r="E12" s="62">
        <v>164.9</v>
      </c>
      <c r="F12" s="62">
        <v>213.7</v>
      </c>
      <c r="G12" s="62">
        <v>170.9</v>
      </c>
      <c r="H12" s="62">
        <v>170.1</v>
      </c>
      <c r="I12" s="62">
        <v>179.3</v>
      </c>
      <c r="J12" s="62">
        <v>167.5</v>
      </c>
      <c r="K12" s="62">
        <v>220.8</v>
      </c>
      <c r="L12" s="62">
        <v>169.2</v>
      </c>
      <c r="M12" s="62">
        <v>123.1</v>
      </c>
      <c r="N12" s="62">
        <v>193.6</v>
      </c>
      <c r="O12" s="62">
        <v>161.1</v>
      </c>
      <c r="P12" s="62">
        <v>190.4</v>
      </c>
      <c r="Q12" s="62">
        <v>181.8</v>
      </c>
      <c r="R12" s="103">
        <v>2306.4</v>
      </c>
      <c r="S12" s="47" t="s">
        <v>75</v>
      </c>
      <c r="T12" s="34">
        <v>6224.3</v>
      </c>
      <c r="V12" t="s">
        <v>6</v>
      </c>
      <c r="W12" s="34">
        <v>6224.3</v>
      </c>
    </row>
    <row r="13" spans="1:31" x14ac:dyDescent="0.35">
      <c r="A13" s="94" t="s">
        <v>34</v>
      </c>
      <c r="B13" s="95">
        <v>2022</v>
      </c>
      <c r="C13" s="95" t="s">
        <v>42</v>
      </c>
      <c r="D13" s="17" t="s">
        <v>70</v>
      </c>
      <c r="E13" s="62">
        <v>163.5</v>
      </c>
      <c r="F13" s="62">
        <v>209.2</v>
      </c>
      <c r="G13" s="62">
        <v>169.7</v>
      </c>
      <c r="H13" s="62">
        <v>169.7</v>
      </c>
      <c r="I13" s="62">
        <v>188.7</v>
      </c>
      <c r="J13" s="62">
        <v>165.7</v>
      </c>
      <c r="K13" s="62">
        <v>191.8</v>
      </c>
      <c r="L13" s="62">
        <v>169.1</v>
      </c>
      <c r="M13" s="62">
        <v>121.6</v>
      </c>
      <c r="N13" s="62">
        <v>197.3</v>
      </c>
      <c r="O13" s="62">
        <v>169.4</v>
      </c>
      <c r="P13" s="62">
        <v>187.4</v>
      </c>
      <c r="Q13" s="62">
        <v>177.8</v>
      </c>
      <c r="R13" s="103">
        <v>2280.9</v>
      </c>
      <c r="S13" s="47" t="s">
        <v>82</v>
      </c>
      <c r="T13" s="34">
        <v>6116.9</v>
      </c>
      <c r="V13" t="s">
        <v>13</v>
      </c>
      <c r="W13" s="34">
        <v>6116.9</v>
      </c>
    </row>
    <row r="14" spans="1:31" x14ac:dyDescent="0.35">
      <c r="A14" s="94" t="s">
        <v>30</v>
      </c>
      <c r="B14" s="95">
        <v>2022</v>
      </c>
      <c r="C14" s="95" t="s">
        <v>43</v>
      </c>
      <c r="D14" s="17" t="s">
        <v>69</v>
      </c>
      <c r="E14" s="62">
        <v>164.7</v>
      </c>
      <c r="F14" s="62">
        <v>208.8</v>
      </c>
      <c r="G14" s="62">
        <v>170.3</v>
      </c>
      <c r="H14" s="62">
        <v>170.9</v>
      </c>
      <c r="I14" s="62">
        <v>191.6</v>
      </c>
      <c r="J14" s="62">
        <v>162.19999999999999</v>
      </c>
      <c r="K14" s="62">
        <v>184.8</v>
      </c>
      <c r="L14" s="62">
        <v>169.7</v>
      </c>
      <c r="M14" s="62">
        <v>121.1</v>
      </c>
      <c r="N14" s="62">
        <v>201.6</v>
      </c>
      <c r="O14" s="62">
        <v>175.8</v>
      </c>
      <c r="P14" s="62">
        <v>185.6</v>
      </c>
      <c r="Q14" s="62">
        <v>177.4</v>
      </c>
      <c r="R14" s="103">
        <v>2284.5</v>
      </c>
      <c r="S14" s="47" t="s">
        <v>79</v>
      </c>
      <c r="T14" s="34">
        <v>6116.2999999999993</v>
      </c>
      <c r="V14" t="s">
        <v>10</v>
      </c>
      <c r="W14" s="34">
        <v>6116.2999999999993</v>
      </c>
    </row>
    <row r="15" spans="1:31" x14ac:dyDescent="0.35">
      <c r="A15" s="94" t="s">
        <v>33</v>
      </c>
      <c r="B15" s="95">
        <v>2022</v>
      </c>
      <c r="C15" s="95" t="s">
        <v>43</v>
      </c>
      <c r="D15" s="17" t="s">
        <v>69</v>
      </c>
      <c r="E15" s="62">
        <v>166.4</v>
      </c>
      <c r="F15" s="62">
        <v>214.9</v>
      </c>
      <c r="G15" s="62">
        <v>171.9</v>
      </c>
      <c r="H15" s="62">
        <v>171</v>
      </c>
      <c r="I15" s="62">
        <v>177.7</v>
      </c>
      <c r="J15" s="62">
        <v>165.7</v>
      </c>
      <c r="K15" s="62">
        <v>228.6</v>
      </c>
      <c r="L15" s="62">
        <v>169.9</v>
      </c>
      <c r="M15" s="62">
        <v>123.4</v>
      </c>
      <c r="N15" s="62">
        <v>196.4</v>
      </c>
      <c r="O15" s="62">
        <v>161.6</v>
      </c>
      <c r="P15" s="62">
        <v>191.5</v>
      </c>
      <c r="Q15" s="62">
        <v>183.3</v>
      </c>
      <c r="R15" s="103">
        <v>2322.3000000000002</v>
      </c>
      <c r="S15" s="47" t="s">
        <v>77</v>
      </c>
      <c r="T15" s="34">
        <v>6036.5999999999995</v>
      </c>
      <c r="V15" t="s">
        <v>8</v>
      </c>
      <c r="W15" s="34">
        <v>6036.5999999999995</v>
      </c>
    </row>
    <row r="16" spans="1:31" x14ac:dyDescent="0.35">
      <c r="A16" s="94" t="s">
        <v>34</v>
      </c>
      <c r="B16" s="95">
        <v>2022</v>
      </c>
      <c r="C16" s="95" t="s">
        <v>43</v>
      </c>
      <c r="D16" s="17" t="s">
        <v>69</v>
      </c>
      <c r="E16" s="62">
        <v>165.2</v>
      </c>
      <c r="F16" s="62">
        <v>210.9</v>
      </c>
      <c r="G16" s="62">
        <v>170.9</v>
      </c>
      <c r="H16" s="62">
        <v>170.9</v>
      </c>
      <c r="I16" s="62">
        <v>186.5</v>
      </c>
      <c r="J16" s="62">
        <v>163.80000000000001</v>
      </c>
      <c r="K16" s="62">
        <v>199.7</v>
      </c>
      <c r="L16" s="62">
        <v>169.8</v>
      </c>
      <c r="M16" s="62">
        <v>121.9</v>
      </c>
      <c r="N16" s="62">
        <v>199.9</v>
      </c>
      <c r="O16" s="62">
        <v>169.9</v>
      </c>
      <c r="P16" s="62">
        <v>188.3</v>
      </c>
      <c r="Q16" s="62">
        <v>179.6</v>
      </c>
      <c r="R16" s="103">
        <v>2297.3000000000002</v>
      </c>
      <c r="S16" s="47" t="s">
        <v>72</v>
      </c>
      <c r="T16" s="34">
        <v>6028.9999999999991</v>
      </c>
      <c r="V16" t="s">
        <v>3</v>
      </c>
      <c r="W16" s="34">
        <v>6028.9999999999991</v>
      </c>
    </row>
    <row r="17" spans="1:23" x14ac:dyDescent="0.35">
      <c r="A17" s="94" t="s">
        <v>30</v>
      </c>
      <c r="B17" s="95">
        <v>2022</v>
      </c>
      <c r="C17" s="95" t="s">
        <v>45</v>
      </c>
      <c r="D17" s="17" t="s">
        <v>68</v>
      </c>
      <c r="E17" s="62">
        <v>166.9</v>
      </c>
      <c r="F17" s="62">
        <v>207.2</v>
      </c>
      <c r="G17" s="62">
        <v>180.2</v>
      </c>
      <c r="H17" s="62">
        <v>172.3</v>
      </c>
      <c r="I17" s="62">
        <v>194</v>
      </c>
      <c r="J17" s="62">
        <v>159.1</v>
      </c>
      <c r="K17" s="62">
        <v>171.6</v>
      </c>
      <c r="L17" s="62">
        <v>170.2</v>
      </c>
      <c r="M17" s="62">
        <v>121.5</v>
      </c>
      <c r="N17" s="62">
        <v>204.8</v>
      </c>
      <c r="O17" s="62">
        <v>176.4</v>
      </c>
      <c r="P17" s="62">
        <v>186.9</v>
      </c>
      <c r="Q17" s="62">
        <v>176.6</v>
      </c>
      <c r="R17" s="103">
        <v>2287.6999999999998</v>
      </c>
      <c r="S17" s="47" t="s">
        <v>80</v>
      </c>
      <c r="T17" s="34">
        <v>4369.0999999999995</v>
      </c>
      <c r="V17" t="s">
        <v>11</v>
      </c>
      <c r="W17" s="34">
        <v>4369.0999999999995</v>
      </c>
    </row>
    <row r="18" spans="1:23" x14ac:dyDescent="0.35">
      <c r="A18" s="94" t="s">
        <v>33</v>
      </c>
      <c r="B18" s="95">
        <v>2022</v>
      </c>
      <c r="C18" s="95" t="s">
        <v>45</v>
      </c>
      <c r="D18" s="17" t="s">
        <v>68</v>
      </c>
      <c r="E18" s="62">
        <v>168.4</v>
      </c>
      <c r="F18" s="62">
        <v>213.4</v>
      </c>
      <c r="G18" s="62">
        <v>183.2</v>
      </c>
      <c r="H18" s="62">
        <v>172.3</v>
      </c>
      <c r="I18" s="62">
        <v>180</v>
      </c>
      <c r="J18" s="62">
        <v>162.6</v>
      </c>
      <c r="K18" s="62">
        <v>205.5</v>
      </c>
      <c r="L18" s="62">
        <v>171</v>
      </c>
      <c r="M18" s="62">
        <v>123.4</v>
      </c>
      <c r="N18" s="62">
        <v>198.8</v>
      </c>
      <c r="O18" s="62">
        <v>162.1</v>
      </c>
      <c r="P18" s="62">
        <v>192.4</v>
      </c>
      <c r="Q18" s="62">
        <v>181.3</v>
      </c>
      <c r="R18" s="103">
        <v>2314.4</v>
      </c>
    </row>
    <row r="19" spans="1:23" x14ac:dyDescent="0.35">
      <c r="A19" s="94" t="s">
        <v>34</v>
      </c>
      <c r="B19" s="95">
        <v>2022</v>
      </c>
      <c r="C19" s="95" t="s">
        <v>45</v>
      </c>
      <c r="D19" s="17" t="s">
        <v>68</v>
      </c>
      <c r="E19" s="62">
        <v>167.4</v>
      </c>
      <c r="F19" s="62">
        <v>209.4</v>
      </c>
      <c r="G19" s="62">
        <v>181.4</v>
      </c>
      <c r="H19" s="62">
        <v>172.3</v>
      </c>
      <c r="I19" s="62">
        <v>188.9</v>
      </c>
      <c r="J19" s="62">
        <v>160.69999999999999</v>
      </c>
      <c r="K19" s="62">
        <v>183.1</v>
      </c>
      <c r="L19" s="62">
        <v>170.5</v>
      </c>
      <c r="M19" s="62">
        <v>122.1</v>
      </c>
      <c r="N19" s="62">
        <v>202.8</v>
      </c>
      <c r="O19" s="62">
        <v>170.4</v>
      </c>
      <c r="P19" s="62">
        <v>189.5</v>
      </c>
      <c r="Q19" s="62">
        <v>178.3</v>
      </c>
      <c r="R19" s="103">
        <v>2296.8000000000002</v>
      </c>
    </row>
    <row r="20" spans="1:23" x14ac:dyDescent="0.35">
      <c r="A20" s="94" t="s">
        <v>30</v>
      </c>
      <c r="B20" s="95">
        <v>2022</v>
      </c>
      <c r="C20" s="95" t="s">
        <v>46</v>
      </c>
      <c r="D20" s="17" t="s">
        <v>61</v>
      </c>
      <c r="E20" s="62">
        <v>168.8</v>
      </c>
      <c r="F20" s="62">
        <v>206.9</v>
      </c>
      <c r="G20" s="62">
        <v>189.1</v>
      </c>
      <c r="H20" s="62">
        <v>173.4</v>
      </c>
      <c r="I20" s="62">
        <v>193.9</v>
      </c>
      <c r="J20" s="62">
        <v>156.69999999999999</v>
      </c>
      <c r="K20" s="62">
        <v>150.19999999999999</v>
      </c>
      <c r="L20" s="62">
        <v>170.5</v>
      </c>
      <c r="M20" s="62">
        <v>121.2</v>
      </c>
      <c r="N20" s="62">
        <v>207.5</v>
      </c>
      <c r="O20" s="62">
        <v>176.8</v>
      </c>
      <c r="P20" s="62">
        <v>187.7</v>
      </c>
      <c r="Q20" s="62">
        <v>174.4</v>
      </c>
      <c r="R20" s="103">
        <v>2277.1</v>
      </c>
    </row>
    <row r="21" spans="1:23" x14ac:dyDescent="0.35">
      <c r="A21" s="94" t="s">
        <v>33</v>
      </c>
      <c r="B21" s="95">
        <v>2022</v>
      </c>
      <c r="C21" s="95" t="s">
        <v>46</v>
      </c>
      <c r="D21" s="17" t="s">
        <v>61</v>
      </c>
      <c r="E21" s="62">
        <v>170.2</v>
      </c>
      <c r="F21" s="62">
        <v>212.9</v>
      </c>
      <c r="G21" s="62">
        <v>191.9</v>
      </c>
      <c r="H21" s="62">
        <v>173.9</v>
      </c>
      <c r="I21" s="62">
        <v>179.1</v>
      </c>
      <c r="J21" s="62">
        <v>159.5</v>
      </c>
      <c r="K21" s="62">
        <v>178.7</v>
      </c>
      <c r="L21" s="62">
        <v>171.3</v>
      </c>
      <c r="M21" s="62">
        <v>123.1</v>
      </c>
      <c r="N21" s="62">
        <v>200.5</v>
      </c>
      <c r="O21" s="62">
        <v>162.80000000000001</v>
      </c>
      <c r="P21" s="62">
        <v>193.3</v>
      </c>
      <c r="Q21" s="62">
        <v>178.6</v>
      </c>
      <c r="R21" s="103">
        <v>2295.7999999999997</v>
      </c>
      <c r="S21" t="s">
        <v>4</v>
      </c>
      <c r="T21" s="34">
        <v>7604.8999999999978</v>
      </c>
    </row>
    <row r="22" spans="1:23" x14ac:dyDescent="0.35">
      <c r="A22" s="94" t="s">
        <v>34</v>
      </c>
      <c r="B22" s="95">
        <v>2022</v>
      </c>
      <c r="C22" s="95" t="s">
        <v>46</v>
      </c>
      <c r="D22" s="17" t="s">
        <v>61</v>
      </c>
      <c r="E22" s="62">
        <v>169.2</v>
      </c>
      <c r="F22" s="62">
        <v>209</v>
      </c>
      <c r="G22" s="62">
        <v>190.2</v>
      </c>
      <c r="H22" s="62">
        <v>173.6</v>
      </c>
      <c r="I22" s="62">
        <v>188.5</v>
      </c>
      <c r="J22" s="62">
        <v>158</v>
      </c>
      <c r="K22" s="62">
        <v>159.9</v>
      </c>
      <c r="L22" s="62">
        <v>170.8</v>
      </c>
      <c r="M22" s="62">
        <v>121.8</v>
      </c>
      <c r="N22" s="62">
        <v>205.2</v>
      </c>
      <c r="O22" s="62">
        <v>171</v>
      </c>
      <c r="P22" s="62">
        <v>190.3</v>
      </c>
      <c r="Q22" s="62">
        <v>175.9</v>
      </c>
      <c r="R22" s="103">
        <v>2283.4</v>
      </c>
      <c r="S22" t="s">
        <v>12</v>
      </c>
      <c r="T22" s="34">
        <v>7277.5000000000009</v>
      </c>
    </row>
    <row r="23" spans="1:23" x14ac:dyDescent="0.35">
      <c r="A23" s="94" t="s">
        <v>30</v>
      </c>
      <c r="B23" s="95">
        <v>2023</v>
      </c>
      <c r="C23" s="95" t="s">
        <v>31</v>
      </c>
      <c r="D23" s="17" t="s">
        <v>63</v>
      </c>
      <c r="E23" s="62">
        <v>174</v>
      </c>
      <c r="F23" s="62">
        <v>208.3</v>
      </c>
      <c r="G23" s="62">
        <v>192.9</v>
      </c>
      <c r="H23" s="62">
        <v>174.3</v>
      </c>
      <c r="I23" s="62">
        <v>192.6</v>
      </c>
      <c r="J23" s="62">
        <v>156.30000000000001</v>
      </c>
      <c r="K23" s="62">
        <v>142.9</v>
      </c>
      <c r="L23" s="62">
        <v>170.7</v>
      </c>
      <c r="M23" s="62">
        <v>120.3</v>
      </c>
      <c r="N23" s="62">
        <v>210.5</v>
      </c>
      <c r="O23" s="62">
        <v>176.9</v>
      </c>
      <c r="P23" s="62">
        <v>188.5</v>
      </c>
      <c r="Q23" s="62">
        <v>175</v>
      </c>
      <c r="R23" s="103">
        <v>2283.2000000000003</v>
      </c>
      <c r="S23" t="s">
        <v>14</v>
      </c>
      <c r="T23" s="34">
        <v>6832.4000000000005</v>
      </c>
    </row>
    <row r="24" spans="1:23" x14ac:dyDescent="0.35">
      <c r="A24" s="94" t="s">
        <v>33</v>
      </c>
      <c r="B24" s="95">
        <v>2023</v>
      </c>
      <c r="C24" s="95" t="s">
        <v>31</v>
      </c>
      <c r="D24" s="17" t="s">
        <v>63</v>
      </c>
      <c r="E24" s="62">
        <v>173.3</v>
      </c>
      <c r="F24" s="62">
        <v>215.2</v>
      </c>
      <c r="G24" s="62">
        <v>197</v>
      </c>
      <c r="H24" s="62">
        <v>175.2</v>
      </c>
      <c r="I24" s="62">
        <v>178</v>
      </c>
      <c r="J24" s="62">
        <v>160.5</v>
      </c>
      <c r="K24" s="62">
        <v>175.3</v>
      </c>
      <c r="L24" s="62">
        <v>171.2</v>
      </c>
      <c r="M24" s="62">
        <v>122.7</v>
      </c>
      <c r="N24" s="62">
        <v>204.3</v>
      </c>
      <c r="O24" s="62">
        <v>163.69999999999999</v>
      </c>
      <c r="P24" s="62">
        <v>194.3</v>
      </c>
      <c r="Q24" s="62">
        <v>179.5</v>
      </c>
      <c r="R24" s="103">
        <v>2310.2000000000003</v>
      </c>
      <c r="S24" t="s">
        <v>7</v>
      </c>
      <c r="T24" s="34">
        <v>6652.8999999999978</v>
      </c>
    </row>
    <row r="25" spans="1:23" x14ac:dyDescent="0.35">
      <c r="A25" s="94" t="s">
        <v>34</v>
      </c>
      <c r="B25" s="95">
        <v>2023</v>
      </c>
      <c r="C25" s="95" t="s">
        <v>31</v>
      </c>
      <c r="D25" s="17" t="s">
        <v>63</v>
      </c>
      <c r="E25" s="62">
        <v>173.8</v>
      </c>
      <c r="F25" s="62">
        <v>210.7</v>
      </c>
      <c r="G25" s="62">
        <v>194.5</v>
      </c>
      <c r="H25" s="62">
        <v>174.6</v>
      </c>
      <c r="I25" s="62">
        <v>187.2</v>
      </c>
      <c r="J25" s="62">
        <v>158.30000000000001</v>
      </c>
      <c r="K25" s="62">
        <v>153.9</v>
      </c>
      <c r="L25" s="62">
        <v>170.9</v>
      </c>
      <c r="M25" s="62">
        <v>121.1</v>
      </c>
      <c r="N25" s="62">
        <v>208.4</v>
      </c>
      <c r="O25" s="62">
        <v>171.4</v>
      </c>
      <c r="P25" s="62">
        <v>191.2</v>
      </c>
      <c r="Q25" s="62">
        <v>176.7</v>
      </c>
      <c r="R25" s="103">
        <v>2292.6999999999998</v>
      </c>
      <c r="S25" t="s">
        <v>15</v>
      </c>
      <c r="T25" s="34">
        <v>6395.4000000000024</v>
      </c>
    </row>
    <row r="26" spans="1:23" x14ac:dyDescent="0.35">
      <c r="A26" s="94" t="s">
        <v>30</v>
      </c>
      <c r="B26" s="95">
        <v>2023</v>
      </c>
      <c r="C26" s="95" t="s">
        <v>35</v>
      </c>
      <c r="D26" s="17" t="s">
        <v>62</v>
      </c>
      <c r="E26" s="62">
        <v>174.2</v>
      </c>
      <c r="F26" s="62">
        <v>205.2</v>
      </c>
      <c r="G26" s="62">
        <v>173.9</v>
      </c>
      <c r="H26" s="62">
        <v>177</v>
      </c>
      <c r="I26" s="62">
        <v>183.4</v>
      </c>
      <c r="J26" s="62">
        <v>167.2</v>
      </c>
      <c r="K26" s="62">
        <v>140.9</v>
      </c>
      <c r="L26" s="62">
        <v>170.4</v>
      </c>
      <c r="M26" s="62">
        <v>119.1</v>
      </c>
      <c r="N26" s="62">
        <v>212.1</v>
      </c>
      <c r="O26" s="62">
        <v>177.6</v>
      </c>
      <c r="P26" s="62">
        <v>189.9</v>
      </c>
      <c r="Q26" s="62">
        <v>174.8</v>
      </c>
      <c r="R26" s="103">
        <v>2265.6999999999998</v>
      </c>
      <c r="S26" t="s">
        <v>5</v>
      </c>
      <c r="T26" s="34">
        <v>6353.8999999999978</v>
      </c>
    </row>
    <row r="27" spans="1:23" x14ac:dyDescent="0.35">
      <c r="A27" s="94" t="s">
        <v>33</v>
      </c>
      <c r="B27" s="95">
        <v>2023</v>
      </c>
      <c r="C27" s="95" t="s">
        <v>35</v>
      </c>
      <c r="D27" s="17" t="s">
        <v>62</v>
      </c>
      <c r="E27" s="62">
        <v>174.7</v>
      </c>
      <c r="F27" s="62">
        <v>212.2</v>
      </c>
      <c r="G27" s="62">
        <v>177.2</v>
      </c>
      <c r="H27" s="62">
        <v>177.9</v>
      </c>
      <c r="I27" s="62">
        <v>172.2</v>
      </c>
      <c r="J27" s="62">
        <v>172.1</v>
      </c>
      <c r="K27" s="62">
        <v>175.8</v>
      </c>
      <c r="L27" s="62">
        <v>172.2</v>
      </c>
      <c r="M27" s="62">
        <v>121.9</v>
      </c>
      <c r="N27" s="62">
        <v>204.8</v>
      </c>
      <c r="O27" s="62">
        <v>164.9</v>
      </c>
      <c r="P27" s="62">
        <v>196.6</v>
      </c>
      <c r="Q27" s="62">
        <v>180.7</v>
      </c>
      <c r="R27" s="103">
        <v>2303.1999999999998</v>
      </c>
      <c r="S27" t="s">
        <v>9</v>
      </c>
      <c r="T27" s="34">
        <v>6328.699999999998</v>
      </c>
    </row>
    <row r="28" spans="1:23" x14ac:dyDescent="0.35">
      <c r="A28" s="94" t="s">
        <v>34</v>
      </c>
      <c r="B28" s="95">
        <v>2023</v>
      </c>
      <c r="C28" s="95" t="s">
        <v>35</v>
      </c>
      <c r="D28" s="17" t="s">
        <v>62</v>
      </c>
      <c r="E28" s="62">
        <v>174.4</v>
      </c>
      <c r="F28" s="62">
        <v>207.7</v>
      </c>
      <c r="G28" s="62">
        <v>175.2</v>
      </c>
      <c r="H28" s="62">
        <v>177.3</v>
      </c>
      <c r="I28" s="62">
        <v>179.3</v>
      </c>
      <c r="J28" s="62">
        <v>169.5</v>
      </c>
      <c r="K28" s="62">
        <v>152.69999999999999</v>
      </c>
      <c r="L28" s="62">
        <v>171</v>
      </c>
      <c r="M28" s="62">
        <v>120</v>
      </c>
      <c r="N28" s="62">
        <v>209.7</v>
      </c>
      <c r="O28" s="62">
        <v>172.3</v>
      </c>
      <c r="P28" s="62">
        <v>193</v>
      </c>
      <c r="Q28" s="62">
        <v>177</v>
      </c>
      <c r="R28" s="103">
        <v>2279.1</v>
      </c>
      <c r="S28" t="s">
        <v>6</v>
      </c>
      <c r="T28" s="34">
        <v>6224.3</v>
      </c>
    </row>
    <row r="29" spans="1:23" x14ac:dyDescent="0.35">
      <c r="A29" s="94" t="s">
        <v>30</v>
      </c>
      <c r="B29" s="95">
        <v>2023</v>
      </c>
      <c r="C29" s="95" t="s">
        <v>36</v>
      </c>
      <c r="D29" s="17" t="s">
        <v>66</v>
      </c>
      <c r="E29" s="62">
        <v>174.3</v>
      </c>
      <c r="F29" s="62">
        <v>205.2</v>
      </c>
      <c r="G29" s="62">
        <v>173.9</v>
      </c>
      <c r="H29" s="62">
        <v>177</v>
      </c>
      <c r="I29" s="62">
        <v>183.3</v>
      </c>
      <c r="J29" s="62">
        <v>167.2</v>
      </c>
      <c r="K29" s="62">
        <v>140.9</v>
      </c>
      <c r="L29" s="62">
        <v>170.5</v>
      </c>
      <c r="M29" s="62">
        <v>119.1</v>
      </c>
      <c r="N29" s="62">
        <v>212.1</v>
      </c>
      <c r="O29" s="62">
        <v>177.6</v>
      </c>
      <c r="P29" s="62">
        <v>189.9</v>
      </c>
      <c r="Q29" s="62">
        <v>174.8</v>
      </c>
      <c r="R29" s="103">
        <v>2265.8000000000002</v>
      </c>
      <c r="S29" t="s">
        <v>13</v>
      </c>
      <c r="T29" s="34">
        <v>6116.9</v>
      </c>
    </row>
    <row r="30" spans="1:23" x14ac:dyDescent="0.35">
      <c r="A30" s="94" t="s">
        <v>33</v>
      </c>
      <c r="B30" s="95">
        <v>2023</v>
      </c>
      <c r="C30" s="95" t="s">
        <v>36</v>
      </c>
      <c r="D30" s="17" t="s">
        <v>66</v>
      </c>
      <c r="E30" s="62">
        <v>174.7</v>
      </c>
      <c r="F30" s="62">
        <v>212.2</v>
      </c>
      <c r="G30" s="62">
        <v>177.2</v>
      </c>
      <c r="H30" s="62">
        <v>177.9</v>
      </c>
      <c r="I30" s="62">
        <v>172.2</v>
      </c>
      <c r="J30" s="62">
        <v>172.1</v>
      </c>
      <c r="K30" s="62">
        <v>175.9</v>
      </c>
      <c r="L30" s="62">
        <v>172.2</v>
      </c>
      <c r="M30" s="62">
        <v>121.9</v>
      </c>
      <c r="N30" s="62">
        <v>204.8</v>
      </c>
      <c r="O30" s="62">
        <v>164.9</v>
      </c>
      <c r="P30" s="62">
        <v>196.6</v>
      </c>
      <c r="Q30" s="62">
        <v>180.8</v>
      </c>
      <c r="R30" s="103">
        <v>2303.4</v>
      </c>
      <c r="S30" t="s">
        <v>10</v>
      </c>
      <c r="T30" s="34">
        <v>6116.2999999999993</v>
      </c>
    </row>
    <row r="31" spans="1:23" x14ac:dyDescent="0.35">
      <c r="A31" s="94" t="s">
        <v>34</v>
      </c>
      <c r="B31" s="95">
        <v>2023</v>
      </c>
      <c r="C31" s="95" t="s">
        <v>36</v>
      </c>
      <c r="D31" s="17" t="s">
        <v>66</v>
      </c>
      <c r="E31" s="62">
        <v>174.4</v>
      </c>
      <c r="F31" s="62">
        <v>207.7</v>
      </c>
      <c r="G31" s="62">
        <v>175.2</v>
      </c>
      <c r="H31" s="62">
        <v>177.3</v>
      </c>
      <c r="I31" s="62">
        <v>179.2</v>
      </c>
      <c r="J31" s="62">
        <v>169.5</v>
      </c>
      <c r="K31" s="62">
        <v>152.80000000000001</v>
      </c>
      <c r="L31" s="62">
        <v>171.1</v>
      </c>
      <c r="M31" s="62">
        <v>120</v>
      </c>
      <c r="N31" s="62">
        <v>209.7</v>
      </c>
      <c r="O31" s="62">
        <v>172.3</v>
      </c>
      <c r="P31" s="62">
        <v>193</v>
      </c>
      <c r="Q31" s="62">
        <v>177</v>
      </c>
      <c r="R31" s="103">
        <v>2279.1999999999998</v>
      </c>
      <c r="S31" t="s">
        <v>8</v>
      </c>
      <c r="T31" s="34">
        <v>6036.5999999999995</v>
      </c>
    </row>
    <row r="32" spans="1:23" x14ac:dyDescent="0.35">
      <c r="A32" s="94" t="s">
        <v>30</v>
      </c>
      <c r="B32" s="95">
        <v>2023</v>
      </c>
      <c r="C32" s="95" t="s">
        <v>37</v>
      </c>
      <c r="D32" s="17" t="s">
        <v>59</v>
      </c>
      <c r="E32" s="62">
        <v>173.3</v>
      </c>
      <c r="F32" s="62">
        <v>206.9</v>
      </c>
      <c r="G32" s="62">
        <v>167.9</v>
      </c>
      <c r="H32" s="62">
        <v>178.2</v>
      </c>
      <c r="I32" s="62">
        <v>178.5</v>
      </c>
      <c r="J32" s="62">
        <v>173.7</v>
      </c>
      <c r="K32" s="62">
        <v>142.80000000000001</v>
      </c>
      <c r="L32" s="62">
        <v>172.8</v>
      </c>
      <c r="M32" s="62">
        <v>120.4</v>
      </c>
      <c r="N32" s="62">
        <v>215.5</v>
      </c>
      <c r="O32" s="62">
        <v>178.2</v>
      </c>
      <c r="P32" s="62">
        <v>190.5</v>
      </c>
      <c r="Q32" s="62">
        <v>175.5</v>
      </c>
      <c r="R32" s="103">
        <v>2274.1999999999998</v>
      </c>
      <c r="S32" t="s">
        <v>3</v>
      </c>
      <c r="T32" s="34">
        <v>6028.9999999999991</v>
      </c>
    </row>
    <row r="33" spans="1:20" x14ac:dyDescent="0.35">
      <c r="A33" s="94" t="s">
        <v>33</v>
      </c>
      <c r="B33" s="95">
        <v>2023</v>
      </c>
      <c r="C33" s="95" t="s">
        <v>37</v>
      </c>
      <c r="D33" s="17" t="s">
        <v>59</v>
      </c>
      <c r="E33" s="62">
        <v>174.8</v>
      </c>
      <c r="F33" s="62">
        <v>213.7</v>
      </c>
      <c r="G33" s="62">
        <v>172.4</v>
      </c>
      <c r="H33" s="62">
        <v>178.8</v>
      </c>
      <c r="I33" s="62">
        <v>168.7</v>
      </c>
      <c r="J33" s="62">
        <v>179.2</v>
      </c>
      <c r="K33" s="62">
        <v>179.9</v>
      </c>
      <c r="L33" s="62">
        <v>174.7</v>
      </c>
      <c r="M33" s="62">
        <v>123.1</v>
      </c>
      <c r="N33" s="62">
        <v>207.8</v>
      </c>
      <c r="O33" s="62">
        <v>165.5</v>
      </c>
      <c r="P33" s="62">
        <v>197</v>
      </c>
      <c r="Q33" s="62">
        <v>182.1</v>
      </c>
      <c r="R33" s="103">
        <v>2317.7000000000003</v>
      </c>
      <c r="S33" t="s">
        <v>11</v>
      </c>
      <c r="T33" s="34">
        <v>4369.0999999999995</v>
      </c>
    </row>
    <row r="34" spans="1:20" x14ac:dyDescent="0.35">
      <c r="A34" s="94" t="s">
        <v>34</v>
      </c>
      <c r="B34" s="95">
        <v>2023</v>
      </c>
      <c r="C34" s="95" t="s">
        <v>37</v>
      </c>
      <c r="D34" s="17" t="s">
        <v>59</v>
      </c>
      <c r="E34" s="62">
        <v>173.8</v>
      </c>
      <c r="F34" s="62">
        <v>209.3</v>
      </c>
      <c r="G34" s="62">
        <v>169.6</v>
      </c>
      <c r="H34" s="62">
        <v>178.4</v>
      </c>
      <c r="I34" s="62">
        <v>174.9</v>
      </c>
      <c r="J34" s="62">
        <v>176.3</v>
      </c>
      <c r="K34" s="62">
        <v>155.4</v>
      </c>
      <c r="L34" s="62">
        <v>173.4</v>
      </c>
      <c r="M34" s="62">
        <v>121.3</v>
      </c>
      <c r="N34" s="62">
        <v>212.9</v>
      </c>
      <c r="O34" s="62">
        <v>172.9</v>
      </c>
      <c r="P34" s="62">
        <v>193.5</v>
      </c>
      <c r="Q34" s="62">
        <v>177.9</v>
      </c>
      <c r="R34" s="103">
        <v>2289.6000000000004</v>
      </c>
    </row>
    <row r="35" spans="1:20" x14ac:dyDescent="0.35">
      <c r="A35" s="92" t="s">
        <v>30</v>
      </c>
      <c r="B35" s="93">
        <v>2023</v>
      </c>
      <c r="C35" s="93" t="s">
        <v>38</v>
      </c>
      <c r="D35" s="89" t="s">
        <v>67</v>
      </c>
      <c r="E35" s="101">
        <v>173.2</v>
      </c>
      <c r="F35" s="101">
        <v>211.5</v>
      </c>
      <c r="G35" s="101">
        <v>171</v>
      </c>
      <c r="H35" s="101">
        <v>179.6</v>
      </c>
      <c r="I35" s="101">
        <v>173.3</v>
      </c>
      <c r="J35" s="101">
        <v>169</v>
      </c>
      <c r="K35" s="101">
        <v>148.69999999999999</v>
      </c>
      <c r="L35" s="101">
        <v>174.9</v>
      </c>
      <c r="M35" s="101">
        <v>121.9</v>
      </c>
      <c r="N35" s="101">
        <v>221</v>
      </c>
      <c r="O35" s="101">
        <v>178.7</v>
      </c>
      <c r="P35" s="101">
        <v>191.1</v>
      </c>
      <c r="Q35" s="101">
        <v>176.8</v>
      </c>
      <c r="R35" s="102">
        <v>2290.7000000000007</v>
      </c>
    </row>
    <row r="36" spans="1:20" x14ac:dyDescent="0.35">
      <c r="A36" s="92" t="s">
        <v>33</v>
      </c>
      <c r="B36" s="93">
        <v>2023</v>
      </c>
      <c r="C36" s="93" t="s">
        <v>38</v>
      </c>
      <c r="D36" s="89" t="s">
        <v>67</v>
      </c>
      <c r="E36" s="101">
        <v>174.7</v>
      </c>
      <c r="F36" s="101">
        <v>219.4</v>
      </c>
      <c r="G36" s="101">
        <v>176.7</v>
      </c>
      <c r="H36" s="101">
        <v>179.4</v>
      </c>
      <c r="I36" s="101">
        <v>164.4</v>
      </c>
      <c r="J36" s="101">
        <v>175.8</v>
      </c>
      <c r="K36" s="101">
        <v>185</v>
      </c>
      <c r="L36" s="101">
        <v>176.9</v>
      </c>
      <c r="M36" s="101">
        <v>124.2</v>
      </c>
      <c r="N36" s="101">
        <v>211.9</v>
      </c>
      <c r="O36" s="101">
        <v>165.9</v>
      </c>
      <c r="P36" s="101">
        <v>197.7</v>
      </c>
      <c r="Q36" s="101">
        <v>183.1</v>
      </c>
      <c r="R36" s="102">
        <v>2335.1</v>
      </c>
    </row>
    <row r="37" spans="1:20" ht="15" thickBot="1" x14ac:dyDescent="0.4">
      <c r="A37" s="96" t="s">
        <v>34</v>
      </c>
      <c r="B37" s="97">
        <v>2023</v>
      </c>
      <c r="C37" s="97" t="s">
        <v>38</v>
      </c>
      <c r="D37" s="98" t="s">
        <v>67</v>
      </c>
      <c r="E37" s="104">
        <v>173.7</v>
      </c>
      <c r="F37" s="104">
        <v>214.3</v>
      </c>
      <c r="G37" s="104">
        <v>173.2</v>
      </c>
      <c r="H37" s="104">
        <v>179.5</v>
      </c>
      <c r="I37" s="104">
        <v>170</v>
      </c>
      <c r="J37" s="104">
        <v>172.2</v>
      </c>
      <c r="K37" s="104">
        <v>161</v>
      </c>
      <c r="L37" s="104">
        <v>175.6</v>
      </c>
      <c r="M37" s="104">
        <v>122.7</v>
      </c>
      <c r="N37" s="104">
        <v>218</v>
      </c>
      <c r="O37" s="104">
        <v>173.4</v>
      </c>
      <c r="P37" s="104">
        <v>194.2</v>
      </c>
      <c r="Q37" s="104">
        <v>179.1</v>
      </c>
      <c r="R37" s="105">
        <v>2306.9</v>
      </c>
    </row>
    <row r="38" spans="1:20" x14ac:dyDescent="0.35">
      <c r="A38" s="81" t="s">
        <v>30</v>
      </c>
      <c r="B38" s="82" t="s">
        <v>136</v>
      </c>
      <c r="C38" s="82"/>
      <c r="D38" s="82" t="s">
        <v>137</v>
      </c>
      <c r="E38" s="83">
        <f>E35-E2</f>
        <v>19.399999999999977</v>
      </c>
      <c r="F38" s="83">
        <f t="shared" ref="F38:R38" si="0">F35-F2</f>
        <v>-5.6999999999999886</v>
      </c>
      <c r="G38" s="83">
        <f t="shared" si="0"/>
        <v>1.4000000000000057</v>
      </c>
      <c r="H38" s="83">
        <f t="shared" si="0"/>
        <v>14.199999999999989</v>
      </c>
      <c r="I38" s="83">
        <f t="shared" si="0"/>
        <v>-34.799999999999983</v>
      </c>
      <c r="J38" s="83">
        <f t="shared" si="0"/>
        <v>3.1999999999999886</v>
      </c>
      <c r="K38" s="83">
        <f t="shared" si="0"/>
        <v>-18.600000000000023</v>
      </c>
      <c r="L38" s="83">
        <f t="shared" si="0"/>
        <v>10.300000000000011</v>
      </c>
      <c r="M38" s="83">
        <f t="shared" si="0"/>
        <v>2.8000000000000114</v>
      </c>
      <c r="N38" s="83">
        <f t="shared" si="0"/>
        <v>32.099999999999994</v>
      </c>
      <c r="O38" s="83">
        <f t="shared" si="0"/>
        <v>4.5</v>
      </c>
      <c r="P38" s="83">
        <f t="shared" si="0"/>
        <v>9.1999999999999886</v>
      </c>
      <c r="Q38" s="83">
        <f t="shared" si="0"/>
        <v>4.4000000000000057</v>
      </c>
      <c r="R38" s="106">
        <f t="shared" si="0"/>
        <v>42.400000000000546</v>
      </c>
    </row>
    <row r="39" spans="1:20" x14ac:dyDescent="0.35">
      <c r="A39" s="84" t="s">
        <v>33</v>
      </c>
      <c r="B39" s="85" t="s">
        <v>136</v>
      </c>
      <c r="C39" s="85"/>
      <c r="D39" s="85" t="s">
        <v>137</v>
      </c>
      <c r="E39" s="86">
        <f>E36-E3</f>
        <v>17.199999999999989</v>
      </c>
      <c r="F39" s="86">
        <f t="shared" ref="F39:R39" si="1">F36-F3</f>
        <v>-4</v>
      </c>
      <c r="G39" s="86">
        <f t="shared" si="1"/>
        <v>3.8999999999999773</v>
      </c>
      <c r="H39" s="86">
        <f t="shared" si="1"/>
        <v>13</v>
      </c>
      <c r="I39" s="86">
        <f t="shared" si="1"/>
        <v>-24.199999999999989</v>
      </c>
      <c r="J39" s="86">
        <f t="shared" si="1"/>
        <v>1.7000000000000171</v>
      </c>
      <c r="K39" s="86">
        <f t="shared" si="1"/>
        <v>-26.5</v>
      </c>
      <c r="L39" s="86">
        <f t="shared" si="1"/>
        <v>13.300000000000011</v>
      </c>
      <c r="M39" s="86">
        <f t="shared" si="1"/>
        <v>2.7999999999999972</v>
      </c>
      <c r="N39" s="86">
        <f t="shared" si="1"/>
        <v>28.400000000000006</v>
      </c>
      <c r="O39" s="86">
        <f t="shared" si="1"/>
        <v>6.8000000000000114</v>
      </c>
      <c r="P39" s="86">
        <f t="shared" si="1"/>
        <v>11.399999999999977</v>
      </c>
      <c r="Q39" s="86">
        <f t="shared" si="1"/>
        <v>3.7999999999999829</v>
      </c>
      <c r="R39" s="107">
        <f t="shared" si="1"/>
        <v>47.599999999999909</v>
      </c>
    </row>
    <row r="40" spans="1:20" ht="15" thickBot="1" x14ac:dyDescent="0.4">
      <c r="A40" s="87" t="s">
        <v>34</v>
      </c>
      <c r="B40" s="88" t="s">
        <v>136</v>
      </c>
      <c r="C40" s="88"/>
      <c r="D40" s="88" t="s">
        <v>137</v>
      </c>
      <c r="E40" s="86">
        <f>E37-E4</f>
        <v>18.699999999999989</v>
      </c>
      <c r="F40" s="86">
        <f t="shared" ref="F40:R40" si="2">F37-F4</f>
        <v>-5.0999999999999943</v>
      </c>
      <c r="G40" s="86">
        <f t="shared" si="2"/>
        <v>2.3999999999999773</v>
      </c>
      <c r="H40" s="86">
        <f t="shared" si="2"/>
        <v>13.699999999999989</v>
      </c>
      <c r="I40" s="86">
        <f t="shared" si="2"/>
        <v>-30.900000000000006</v>
      </c>
      <c r="J40" s="86">
        <f t="shared" si="2"/>
        <v>2.5</v>
      </c>
      <c r="K40" s="86">
        <f t="shared" si="2"/>
        <v>-21.300000000000011</v>
      </c>
      <c r="L40" s="86">
        <f t="shared" si="2"/>
        <v>11.299999999999983</v>
      </c>
      <c r="M40" s="86">
        <f t="shared" si="2"/>
        <v>2.7999999999999972</v>
      </c>
      <c r="N40" s="86">
        <f t="shared" si="2"/>
        <v>30.900000000000006</v>
      </c>
      <c r="O40" s="86">
        <f t="shared" si="2"/>
        <v>5.5</v>
      </c>
      <c r="P40" s="86">
        <f t="shared" si="2"/>
        <v>10.299999999999983</v>
      </c>
      <c r="Q40" s="86">
        <f t="shared" si="2"/>
        <v>4.1999999999999886</v>
      </c>
      <c r="R40" s="107">
        <f t="shared" si="2"/>
        <v>45</v>
      </c>
    </row>
    <row r="41" spans="1:20" s="58" customFormat="1" ht="15" thickBot="1" x14ac:dyDescent="0.4">
      <c r="A41" s="108" t="s">
        <v>138</v>
      </c>
      <c r="B41" s="109" t="s">
        <v>136</v>
      </c>
      <c r="C41" s="109"/>
      <c r="D41" s="109" t="s">
        <v>137</v>
      </c>
      <c r="E41" s="110">
        <f>SUM(E35:E37)-SUM(E2:E4)</f>
        <v>55.299999999999898</v>
      </c>
      <c r="F41" s="110">
        <f t="shared" ref="F41:R41" si="3">SUM(F35:F37)-SUM(F2:F4)</f>
        <v>-14.799999999999955</v>
      </c>
      <c r="G41" s="110">
        <f t="shared" si="3"/>
        <v>7.6999999999999318</v>
      </c>
      <c r="H41" s="110">
        <f t="shared" si="3"/>
        <v>40.899999999999977</v>
      </c>
      <c r="I41" s="110">
        <f t="shared" si="3"/>
        <v>-89.899999999999977</v>
      </c>
      <c r="J41" s="110">
        <f t="shared" si="3"/>
        <v>7.4000000000000341</v>
      </c>
      <c r="K41" s="110">
        <f t="shared" si="3"/>
        <v>-66.400000000000034</v>
      </c>
      <c r="L41" s="110">
        <f t="shared" si="3"/>
        <v>34.899999999999977</v>
      </c>
      <c r="M41" s="110">
        <f t="shared" si="3"/>
        <v>8.4000000000000341</v>
      </c>
      <c r="N41" s="110">
        <f t="shared" si="3"/>
        <v>91.399999999999977</v>
      </c>
      <c r="O41" s="110">
        <f t="shared" si="3"/>
        <v>16.800000000000068</v>
      </c>
      <c r="P41" s="110">
        <f t="shared" si="3"/>
        <v>30.899999999999977</v>
      </c>
      <c r="Q41" s="110">
        <f t="shared" si="3"/>
        <v>12.399999999999977</v>
      </c>
      <c r="R41" s="111">
        <f t="shared" si="3"/>
        <v>135</v>
      </c>
    </row>
    <row r="43" spans="1:20" ht="15" thickBot="1" x14ac:dyDescent="0.4">
      <c r="E43" s="116">
        <f>E38/E41</f>
        <v>0.35081374321880676</v>
      </c>
    </row>
    <row r="44" spans="1:20" ht="15" thickBot="1" x14ac:dyDescent="0.4">
      <c r="E44" s="99" t="s">
        <v>3</v>
      </c>
      <c r="F44" s="99" t="s">
        <v>4</v>
      </c>
      <c r="G44" s="99" t="s">
        <v>5</v>
      </c>
      <c r="H44" s="99" t="s">
        <v>6</v>
      </c>
      <c r="I44" s="99" t="s">
        <v>7</v>
      </c>
      <c r="J44" s="99" t="s">
        <v>8</v>
      </c>
      <c r="K44" s="99" t="s">
        <v>9</v>
      </c>
      <c r="L44" s="99" t="s">
        <v>10</v>
      </c>
      <c r="M44" s="99" t="s">
        <v>11</v>
      </c>
      <c r="N44" s="99" t="s">
        <v>12</v>
      </c>
      <c r="O44" s="99" t="s">
        <v>13</v>
      </c>
      <c r="P44" s="99" t="s">
        <v>14</v>
      </c>
      <c r="Q44" s="99" t="s">
        <v>15</v>
      </c>
      <c r="R44" s="100" t="s">
        <v>50</v>
      </c>
    </row>
    <row r="45" spans="1:20" ht="15" thickBot="1" x14ac:dyDescent="0.4">
      <c r="E45" s="110">
        <v>55.299999999999898</v>
      </c>
      <c r="F45" s="110">
        <v>-14.799999999999955</v>
      </c>
      <c r="G45" s="110">
        <v>7.6999999999999318</v>
      </c>
      <c r="H45" s="110">
        <v>40.899999999999977</v>
      </c>
      <c r="I45" s="110">
        <v>-89.899999999999977</v>
      </c>
      <c r="J45" s="110">
        <v>7.4000000000000341</v>
      </c>
      <c r="K45" s="110">
        <v>-66.400000000000034</v>
      </c>
      <c r="L45" s="110">
        <v>34.899999999999977</v>
      </c>
      <c r="M45" s="110">
        <v>8.4000000000000341</v>
      </c>
      <c r="N45" s="110">
        <v>91.399999999999977</v>
      </c>
      <c r="O45" s="110">
        <v>16.800000000000068</v>
      </c>
      <c r="P45" s="110">
        <v>30.899999999999977</v>
      </c>
      <c r="Q45" s="110">
        <v>12.399999999999977</v>
      </c>
      <c r="R45" s="111">
        <v>135</v>
      </c>
    </row>
    <row r="46" spans="1:20" x14ac:dyDescent="0.35">
      <c r="E46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20" ht="15" thickBot="1" x14ac:dyDescent="0.4">
      <c r="E47"/>
      <c r="F47"/>
      <c r="G47"/>
      <c r="H47"/>
    </row>
    <row r="48" spans="1:20" ht="15" thickBot="1" x14ac:dyDescent="0.4">
      <c r="E48" s="99" t="s">
        <v>3</v>
      </c>
      <c r="F48" s="110">
        <v>55.299999999999898</v>
      </c>
      <c r="G48"/>
      <c r="H48" t="s">
        <v>3</v>
      </c>
      <c r="I48" s="7">
        <v>55.299999999999898</v>
      </c>
      <c r="J48"/>
      <c r="K48" s="99" t="s">
        <v>3</v>
      </c>
      <c r="L48" s="110">
        <v>55.299999999999898</v>
      </c>
    </row>
    <row r="49" spans="5:12" ht="15" thickBot="1" x14ac:dyDescent="0.4">
      <c r="E49" s="99" t="s">
        <v>4</v>
      </c>
      <c r="F49" s="110">
        <v>-14.799999999999955</v>
      </c>
      <c r="G49"/>
      <c r="H49" t="s">
        <v>4</v>
      </c>
      <c r="I49" s="7">
        <v>-14.799999999999955</v>
      </c>
      <c r="J49"/>
      <c r="K49" s="99" t="s">
        <v>4</v>
      </c>
      <c r="L49" s="110">
        <v>-14.799999999999955</v>
      </c>
    </row>
    <row r="50" spans="5:12" ht="15" thickBot="1" x14ac:dyDescent="0.4">
      <c r="E50" s="99" t="s">
        <v>5</v>
      </c>
      <c r="F50" s="110">
        <v>7.6999999999999318</v>
      </c>
      <c r="G50"/>
      <c r="H50" t="s">
        <v>5</v>
      </c>
      <c r="I50" s="7">
        <v>7.6999999999999318</v>
      </c>
      <c r="J50"/>
      <c r="K50" s="99" t="s">
        <v>5</v>
      </c>
      <c r="L50" s="110">
        <v>7.6999999999999318</v>
      </c>
    </row>
    <row r="51" spans="5:12" ht="15" thickBot="1" x14ac:dyDescent="0.4">
      <c r="E51" s="99" t="s">
        <v>6</v>
      </c>
      <c r="F51" s="110">
        <v>40.899999999999977</v>
      </c>
      <c r="G51"/>
      <c r="H51" t="s">
        <v>6</v>
      </c>
      <c r="I51" s="7">
        <v>40.899999999999977</v>
      </c>
      <c r="J51"/>
      <c r="K51" s="99" t="s">
        <v>6</v>
      </c>
      <c r="L51" s="110">
        <v>40.899999999999977</v>
      </c>
    </row>
    <row r="52" spans="5:12" ht="15" thickBot="1" x14ac:dyDescent="0.4">
      <c r="E52" s="99" t="s">
        <v>7</v>
      </c>
      <c r="F52" s="110">
        <v>-89.899999999999977</v>
      </c>
      <c r="G52"/>
      <c r="H52" t="s">
        <v>7</v>
      </c>
      <c r="I52" s="7">
        <v>-89.899999999999977</v>
      </c>
      <c r="J52"/>
      <c r="K52" s="99" t="s">
        <v>7</v>
      </c>
      <c r="L52" s="110">
        <v>-89.899999999999977</v>
      </c>
    </row>
    <row r="53" spans="5:12" ht="15" thickBot="1" x14ac:dyDescent="0.4">
      <c r="E53" s="99" t="s">
        <v>8</v>
      </c>
      <c r="F53" s="110">
        <v>7.4000000000000341</v>
      </c>
      <c r="G53"/>
      <c r="H53" t="s">
        <v>8</v>
      </c>
      <c r="I53" s="7">
        <v>7.4000000000000341</v>
      </c>
      <c r="J53"/>
      <c r="K53" s="99" t="s">
        <v>8</v>
      </c>
      <c r="L53" s="110">
        <v>7.4000000000000341</v>
      </c>
    </row>
    <row r="54" spans="5:12" ht="15" thickBot="1" x14ac:dyDescent="0.4">
      <c r="E54" s="99" t="s">
        <v>9</v>
      </c>
      <c r="F54" s="110">
        <v>-66.400000000000034</v>
      </c>
      <c r="G54"/>
      <c r="H54" t="s">
        <v>9</v>
      </c>
      <c r="I54" s="7">
        <v>-66.400000000000034</v>
      </c>
      <c r="J54"/>
      <c r="K54" s="99" t="s">
        <v>9</v>
      </c>
      <c r="L54" s="110">
        <v>-66.400000000000034</v>
      </c>
    </row>
    <row r="55" spans="5:12" ht="15" thickBot="1" x14ac:dyDescent="0.4">
      <c r="E55" s="99" t="s">
        <v>10</v>
      </c>
      <c r="F55" s="110">
        <v>34.899999999999977</v>
      </c>
      <c r="G55"/>
      <c r="H55" t="s">
        <v>10</v>
      </c>
      <c r="I55" s="7">
        <v>34.899999999999977</v>
      </c>
      <c r="J55"/>
      <c r="K55" s="99" t="s">
        <v>10</v>
      </c>
      <c r="L55" s="110">
        <v>34.899999999999977</v>
      </c>
    </row>
    <row r="56" spans="5:12" ht="15" thickBot="1" x14ac:dyDescent="0.4">
      <c r="E56" s="99" t="s">
        <v>11</v>
      </c>
      <c r="F56" s="110">
        <v>8.4000000000000341</v>
      </c>
      <c r="G56"/>
      <c r="H56" t="s">
        <v>11</v>
      </c>
      <c r="I56" s="7">
        <v>8.4000000000000341</v>
      </c>
      <c r="J56"/>
      <c r="K56" s="99" t="s">
        <v>11</v>
      </c>
      <c r="L56" s="110">
        <v>8.4000000000000341</v>
      </c>
    </row>
    <row r="57" spans="5:12" ht="15" thickBot="1" x14ac:dyDescent="0.4">
      <c r="E57" s="99" t="s">
        <v>12</v>
      </c>
      <c r="F57" s="110">
        <v>91.399999999999977</v>
      </c>
      <c r="G57"/>
      <c r="H57" t="s">
        <v>12</v>
      </c>
      <c r="I57" s="7">
        <v>91.399999999999977</v>
      </c>
      <c r="J57"/>
      <c r="K57" s="99" t="s">
        <v>12</v>
      </c>
      <c r="L57" s="110">
        <v>91.399999999999977</v>
      </c>
    </row>
    <row r="58" spans="5:12" ht="15" thickBot="1" x14ac:dyDescent="0.4">
      <c r="E58" s="99" t="s">
        <v>13</v>
      </c>
      <c r="F58" s="110">
        <v>16.800000000000068</v>
      </c>
      <c r="G58"/>
      <c r="H58" t="s">
        <v>13</v>
      </c>
      <c r="I58" s="7">
        <v>16.800000000000068</v>
      </c>
      <c r="J58"/>
      <c r="K58" s="99" t="s">
        <v>13</v>
      </c>
      <c r="L58" s="110">
        <v>16.800000000000068</v>
      </c>
    </row>
    <row r="59" spans="5:12" ht="15" thickBot="1" x14ac:dyDescent="0.4">
      <c r="E59" s="99" t="s">
        <v>14</v>
      </c>
      <c r="F59" s="110">
        <v>30.899999999999977</v>
      </c>
      <c r="G59"/>
      <c r="H59" t="s">
        <v>14</v>
      </c>
      <c r="I59" s="7">
        <v>30.899999999999977</v>
      </c>
      <c r="J59"/>
      <c r="K59" s="99" t="s">
        <v>14</v>
      </c>
      <c r="L59" s="110">
        <v>30.899999999999977</v>
      </c>
    </row>
    <row r="60" spans="5:12" ht="15" thickBot="1" x14ac:dyDescent="0.4">
      <c r="E60" s="99" t="s">
        <v>15</v>
      </c>
      <c r="F60" s="110">
        <v>12.399999999999977</v>
      </c>
      <c r="G60"/>
      <c r="H60" t="s">
        <v>15</v>
      </c>
      <c r="I60" s="7">
        <v>12.399999999999977</v>
      </c>
      <c r="J60"/>
      <c r="K60" s="99" t="s">
        <v>15</v>
      </c>
      <c r="L60" s="110">
        <v>12.399999999999977</v>
      </c>
    </row>
    <row r="61" spans="5:12" ht="15" thickBot="1" x14ac:dyDescent="0.4">
      <c r="E61" s="100" t="s">
        <v>50</v>
      </c>
      <c r="F61" s="111">
        <v>135</v>
      </c>
      <c r="G61"/>
      <c r="H61" t="s">
        <v>50</v>
      </c>
      <c r="I61" s="7">
        <v>135</v>
      </c>
      <c r="J61"/>
      <c r="K61" s="100" t="s">
        <v>50</v>
      </c>
      <c r="L61" s="111">
        <v>135</v>
      </c>
    </row>
    <row r="65" spans="5:6" x14ac:dyDescent="0.35">
      <c r="E65" s="7" t="s">
        <v>147</v>
      </c>
      <c r="F65" s="7" t="s">
        <v>149</v>
      </c>
    </row>
  </sheetData>
  <autoFilter ref="A1:R37"/>
  <sortState columnSort="1" ref="S1:AE2">
    <sortCondition descending="1" ref="S2"/>
  </sortState>
  <conditionalFormatting sqref="E41:Q4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5:Q4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8:F6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8:L6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Z48"/>
  <sheetViews>
    <sheetView topLeftCell="Q1" workbookViewId="0">
      <pane ySplit="1" topLeftCell="A2" activePane="bottomLeft" state="frozen"/>
      <selection pane="bottomLeft" activeCell="Q1" sqref="Q1"/>
    </sheetView>
  </sheetViews>
  <sheetFormatPr defaultRowHeight="14.5" x14ac:dyDescent="0.35"/>
  <cols>
    <col min="1" max="1" width="12.453125" customWidth="1"/>
    <col min="2" max="2" width="16.81640625" customWidth="1"/>
    <col min="4" max="4" width="20" customWidth="1"/>
    <col min="15" max="15" width="11" customWidth="1"/>
    <col min="16" max="16" width="10.1796875" customWidth="1"/>
    <col min="17" max="17" width="14.6328125" customWidth="1"/>
    <col min="18" max="18" width="11.26953125" style="7" customWidth="1"/>
    <col min="19" max="19" width="33.08984375" bestFit="1" customWidth="1"/>
    <col min="20" max="53" width="6.81640625" customWidth="1"/>
    <col min="54" max="54" width="10.7265625" bestFit="1" customWidth="1"/>
  </cols>
  <sheetData>
    <row r="1" spans="1:18" x14ac:dyDescent="0.35">
      <c r="A1" s="64" t="s">
        <v>0</v>
      </c>
      <c r="B1" s="65" t="s">
        <v>1</v>
      </c>
      <c r="C1" s="65" t="s">
        <v>2</v>
      </c>
      <c r="D1" s="66" t="s">
        <v>58</v>
      </c>
      <c r="E1" s="67" t="s">
        <v>49</v>
      </c>
      <c r="F1" s="67" t="s">
        <v>19</v>
      </c>
      <c r="G1" s="67" t="s">
        <v>20</v>
      </c>
      <c r="H1" s="67" t="s">
        <v>23</v>
      </c>
      <c r="I1" s="65" t="s">
        <v>21</v>
      </c>
      <c r="J1" s="65" t="s">
        <v>24</v>
      </c>
      <c r="K1" s="65" t="s">
        <v>25</v>
      </c>
      <c r="L1" s="65" t="s">
        <v>26</v>
      </c>
      <c r="M1" s="65" t="s">
        <v>16</v>
      </c>
      <c r="N1" s="65" t="s">
        <v>28</v>
      </c>
      <c r="O1" s="65" t="s">
        <v>29</v>
      </c>
      <c r="P1" s="68" t="s">
        <v>51</v>
      </c>
      <c r="Q1" s="28" t="s">
        <v>52</v>
      </c>
      <c r="R1" s="29" t="s">
        <v>71</v>
      </c>
    </row>
    <row r="2" spans="1:18" x14ac:dyDescent="0.35">
      <c r="A2" s="69" t="s">
        <v>30</v>
      </c>
      <c r="B2" s="17">
        <v>2022</v>
      </c>
      <c r="C2" s="17" t="s">
        <v>39</v>
      </c>
      <c r="D2" s="17" t="str">
        <f>CONCATENATE(C2,"-",B2)</f>
        <v>June-2022</v>
      </c>
      <c r="E2" s="4">
        <v>2248.3000000000002</v>
      </c>
      <c r="F2" s="4">
        <v>539.79999999999995</v>
      </c>
      <c r="G2" s="4">
        <v>337.1</v>
      </c>
      <c r="H2" s="4">
        <v>347.7</v>
      </c>
      <c r="I2" s="4">
        <v>176.7</v>
      </c>
      <c r="J2" s="4">
        <v>165.5</v>
      </c>
      <c r="K2" s="4">
        <v>168</v>
      </c>
      <c r="L2" s="4">
        <v>172.6</v>
      </c>
      <c r="M2" s="4">
        <v>192.9</v>
      </c>
      <c r="N2" s="4">
        <v>171</v>
      </c>
      <c r="O2" s="4">
        <v>173.6</v>
      </c>
      <c r="P2" s="70">
        <v>4519.5999999999995</v>
      </c>
      <c r="Q2" s="1" t="s">
        <v>59</v>
      </c>
      <c r="R2" s="26">
        <v>6881.5</v>
      </c>
    </row>
    <row r="3" spans="1:18" x14ac:dyDescent="0.35">
      <c r="A3" s="69" t="s">
        <v>33</v>
      </c>
      <c r="B3" s="17">
        <v>2022</v>
      </c>
      <c r="C3" s="17" t="s">
        <v>39</v>
      </c>
      <c r="D3" s="17" t="str">
        <f t="shared" ref="D3:D37" si="0">CONCATENATE(C3,"-",B3)</f>
        <v>June-2022</v>
      </c>
      <c r="E3" s="4">
        <v>2287.5</v>
      </c>
      <c r="F3" s="4">
        <v>498.4</v>
      </c>
      <c r="G3" s="4">
        <v>328.9</v>
      </c>
      <c r="H3" s="4">
        <v>340.1</v>
      </c>
      <c r="I3" s="4">
        <v>174.9</v>
      </c>
      <c r="J3" s="4">
        <v>157.19999999999999</v>
      </c>
      <c r="K3" s="4">
        <v>164.1</v>
      </c>
      <c r="L3" s="4">
        <v>166.5</v>
      </c>
      <c r="M3" s="4">
        <v>198.3</v>
      </c>
      <c r="N3" s="4">
        <v>163.80000000000001</v>
      </c>
      <c r="O3" s="4">
        <v>171.4</v>
      </c>
      <c r="P3" s="70">
        <v>4479.7000000000007</v>
      </c>
      <c r="Q3" s="1" t="s">
        <v>60</v>
      </c>
      <c r="R3" s="26">
        <v>6818.7000000000007</v>
      </c>
    </row>
    <row r="4" spans="1:18" x14ac:dyDescent="0.35">
      <c r="A4" s="69" t="s">
        <v>34</v>
      </c>
      <c r="B4" s="17">
        <v>2022</v>
      </c>
      <c r="C4" s="17" t="s">
        <v>39</v>
      </c>
      <c r="D4" s="17" t="str">
        <f t="shared" si="0"/>
        <v>June-2022</v>
      </c>
      <c r="E4" s="4">
        <v>2261.9</v>
      </c>
      <c r="F4" s="4">
        <v>523</v>
      </c>
      <c r="G4" s="4">
        <v>333.20000000000005</v>
      </c>
      <c r="H4" s="4">
        <v>344.8</v>
      </c>
      <c r="I4" s="4">
        <v>176</v>
      </c>
      <c r="J4" s="4">
        <v>161.1</v>
      </c>
      <c r="K4" s="4">
        <v>165.8</v>
      </c>
      <c r="L4" s="4">
        <v>169</v>
      </c>
      <c r="M4" s="4">
        <v>194.3</v>
      </c>
      <c r="N4" s="4">
        <v>167.5</v>
      </c>
      <c r="O4" s="4">
        <v>172.6</v>
      </c>
      <c r="P4" s="70">
        <v>4496.6000000000013</v>
      </c>
      <c r="Q4" s="1" t="s">
        <v>61</v>
      </c>
      <c r="R4" s="26">
        <v>6856.2999999999993</v>
      </c>
    </row>
    <row r="5" spans="1:18" x14ac:dyDescent="0.35">
      <c r="A5" s="69" t="s">
        <v>30</v>
      </c>
      <c r="B5" s="17">
        <v>2022</v>
      </c>
      <c r="C5" s="17" t="s">
        <v>40</v>
      </c>
      <c r="D5" s="17" t="str">
        <f t="shared" si="0"/>
        <v>July-2022</v>
      </c>
      <c r="E5" s="4">
        <v>2252.5</v>
      </c>
      <c r="F5" s="4">
        <v>544</v>
      </c>
      <c r="G5" s="4">
        <v>339.1</v>
      </c>
      <c r="H5" s="4">
        <v>348.5</v>
      </c>
      <c r="I5" s="4">
        <v>179.6</v>
      </c>
      <c r="J5" s="4">
        <v>166.3</v>
      </c>
      <c r="K5" s="4">
        <v>168.6</v>
      </c>
      <c r="L5" s="4">
        <v>174.7</v>
      </c>
      <c r="M5" s="4">
        <v>193.2</v>
      </c>
      <c r="N5" s="4">
        <v>171.8</v>
      </c>
      <c r="O5" s="4">
        <v>174.3</v>
      </c>
      <c r="P5" s="70">
        <v>4538.3</v>
      </c>
      <c r="Q5" s="1" t="s">
        <v>62</v>
      </c>
      <c r="R5" s="26">
        <v>6848</v>
      </c>
    </row>
    <row r="6" spans="1:18" x14ac:dyDescent="0.35">
      <c r="A6" s="69" t="s">
        <v>33</v>
      </c>
      <c r="B6" s="17">
        <v>2022</v>
      </c>
      <c r="C6" s="17" t="s">
        <v>40</v>
      </c>
      <c r="D6" s="17" t="str">
        <f t="shared" si="0"/>
        <v>July-2022</v>
      </c>
      <c r="E6" s="4">
        <v>2291.6</v>
      </c>
      <c r="F6" s="4">
        <v>502</v>
      </c>
      <c r="G6" s="4">
        <v>330.9</v>
      </c>
      <c r="H6" s="4">
        <v>341.5</v>
      </c>
      <c r="I6" s="4">
        <v>179.5</v>
      </c>
      <c r="J6" s="4">
        <v>157.4</v>
      </c>
      <c r="K6" s="4">
        <v>164.6</v>
      </c>
      <c r="L6" s="4">
        <v>169.1</v>
      </c>
      <c r="M6" s="4">
        <v>198.6</v>
      </c>
      <c r="N6" s="4">
        <v>164.7</v>
      </c>
      <c r="O6" s="4">
        <v>172.3</v>
      </c>
      <c r="P6" s="70">
        <v>4499.9000000000005</v>
      </c>
      <c r="Q6" s="1" t="s">
        <v>63</v>
      </c>
      <c r="R6" s="26">
        <v>6886.1</v>
      </c>
    </row>
    <row r="7" spans="1:18" x14ac:dyDescent="0.35">
      <c r="A7" s="69" t="s">
        <v>34</v>
      </c>
      <c r="B7" s="17">
        <v>2022</v>
      </c>
      <c r="C7" s="17" t="s">
        <v>40</v>
      </c>
      <c r="D7" s="17" t="str">
        <f t="shared" si="0"/>
        <v>July-2022</v>
      </c>
      <c r="E7" s="4">
        <v>2266.3000000000002</v>
      </c>
      <c r="F7" s="4">
        <v>526.90000000000009</v>
      </c>
      <c r="G7" s="4">
        <v>335.20000000000005</v>
      </c>
      <c r="H7" s="4">
        <v>345.79999999999995</v>
      </c>
      <c r="I7" s="4">
        <v>179.6</v>
      </c>
      <c r="J7" s="4">
        <v>161.6</v>
      </c>
      <c r="K7" s="4">
        <v>166.3</v>
      </c>
      <c r="L7" s="4">
        <v>171.4</v>
      </c>
      <c r="M7" s="4">
        <v>194.6</v>
      </c>
      <c r="N7" s="4">
        <v>168.4</v>
      </c>
      <c r="O7" s="4">
        <v>173.4</v>
      </c>
      <c r="P7" s="70">
        <v>4516.1000000000004</v>
      </c>
      <c r="Q7" s="1" t="s">
        <v>64</v>
      </c>
      <c r="R7" s="26">
        <v>6810.4000000000005</v>
      </c>
    </row>
    <row r="8" spans="1:18" x14ac:dyDescent="0.35">
      <c r="A8" s="69" t="s">
        <v>30</v>
      </c>
      <c r="B8" s="17">
        <v>2022</v>
      </c>
      <c r="C8" s="17" t="s">
        <v>41</v>
      </c>
      <c r="D8" s="17" t="str">
        <f t="shared" si="0"/>
        <v>August-2022</v>
      </c>
      <c r="E8" s="4">
        <v>2255.7999999999997</v>
      </c>
      <c r="F8" s="4">
        <v>547.9</v>
      </c>
      <c r="G8" s="4">
        <v>341.3</v>
      </c>
      <c r="H8" s="4">
        <v>350.5</v>
      </c>
      <c r="I8" s="4">
        <v>179.1</v>
      </c>
      <c r="J8" s="4">
        <v>166.6</v>
      </c>
      <c r="K8" s="4">
        <v>169.3</v>
      </c>
      <c r="L8" s="4">
        <v>175.7</v>
      </c>
      <c r="M8" s="4">
        <v>193.7</v>
      </c>
      <c r="N8" s="4">
        <v>172.6</v>
      </c>
      <c r="O8" s="4">
        <v>175.3</v>
      </c>
      <c r="P8" s="70">
        <v>4552.5</v>
      </c>
      <c r="Q8" s="1" t="s">
        <v>65</v>
      </c>
      <c r="R8" s="26">
        <v>6797.7000000000007</v>
      </c>
    </row>
    <row r="9" spans="1:18" x14ac:dyDescent="0.35">
      <c r="A9" s="69" t="s">
        <v>33</v>
      </c>
      <c r="B9" s="17">
        <v>2022</v>
      </c>
      <c r="C9" s="17" t="s">
        <v>41</v>
      </c>
      <c r="D9" s="17" t="str">
        <f t="shared" si="0"/>
        <v>August-2022</v>
      </c>
      <c r="E9" s="4">
        <v>2293.6999999999998</v>
      </c>
      <c r="F9" s="4">
        <v>505.29999999999995</v>
      </c>
      <c r="G9" s="4">
        <v>333.2</v>
      </c>
      <c r="H9" s="4">
        <v>344</v>
      </c>
      <c r="I9" s="4">
        <v>178.4</v>
      </c>
      <c r="J9" s="4">
        <v>157.69999999999999</v>
      </c>
      <c r="K9" s="4">
        <v>165.1</v>
      </c>
      <c r="L9" s="4">
        <v>169.9</v>
      </c>
      <c r="M9" s="4">
        <v>198.7</v>
      </c>
      <c r="N9" s="4">
        <v>165.4</v>
      </c>
      <c r="O9" s="4">
        <v>173.1</v>
      </c>
      <c r="P9" s="70">
        <v>4511.3999999999987</v>
      </c>
      <c r="Q9" s="1" t="s">
        <v>66</v>
      </c>
      <c r="R9" s="26">
        <v>6848.4000000000005</v>
      </c>
    </row>
    <row r="10" spans="1:18" x14ac:dyDescent="0.35">
      <c r="A10" s="69" t="s">
        <v>34</v>
      </c>
      <c r="B10" s="17">
        <v>2022</v>
      </c>
      <c r="C10" s="17" t="s">
        <v>41</v>
      </c>
      <c r="D10" s="17" t="str">
        <f t="shared" si="0"/>
        <v>August-2022</v>
      </c>
      <c r="E10" s="4">
        <v>2269.2000000000003</v>
      </c>
      <c r="F10" s="4">
        <v>530.70000000000005</v>
      </c>
      <c r="G10" s="4">
        <v>337.5</v>
      </c>
      <c r="H10" s="4">
        <v>348</v>
      </c>
      <c r="I10" s="4">
        <v>178.8</v>
      </c>
      <c r="J10" s="4">
        <v>161.9</v>
      </c>
      <c r="K10" s="4">
        <v>166.9</v>
      </c>
      <c r="L10" s="4">
        <v>172.3</v>
      </c>
      <c r="M10" s="4">
        <v>195</v>
      </c>
      <c r="N10" s="4">
        <v>169.1</v>
      </c>
      <c r="O10" s="4">
        <v>174.3</v>
      </c>
      <c r="P10" s="70">
        <v>4529.4000000000015</v>
      </c>
      <c r="Q10" s="32" t="s">
        <v>67</v>
      </c>
      <c r="R10" s="31">
        <v>6932.7000000000007</v>
      </c>
    </row>
    <row r="11" spans="1:18" x14ac:dyDescent="0.35">
      <c r="A11" s="69" t="s">
        <v>30</v>
      </c>
      <c r="B11" s="17">
        <v>2022</v>
      </c>
      <c r="C11" s="17" t="s">
        <v>42</v>
      </c>
      <c r="D11" s="17" t="str">
        <f t="shared" si="0"/>
        <v>September-2022</v>
      </c>
      <c r="E11" s="4">
        <v>2267.8000000000002</v>
      </c>
      <c r="F11" s="4">
        <v>552.5</v>
      </c>
      <c r="G11" s="4">
        <v>343.1</v>
      </c>
      <c r="H11" s="4">
        <v>351</v>
      </c>
      <c r="I11" s="4">
        <v>179.7</v>
      </c>
      <c r="J11" s="4">
        <v>166.9</v>
      </c>
      <c r="K11" s="4">
        <v>170</v>
      </c>
      <c r="L11" s="4">
        <v>176.2</v>
      </c>
      <c r="M11" s="4">
        <v>194.5</v>
      </c>
      <c r="N11" s="4">
        <v>173.1</v>
      </c>
      <c r="O11" s="4">
        <v>176.4</v>
      </c>
      <c r="P11" s="70">
        <v>4574.8</v>
      </c>
      <c r="Q11" s="1" t="s">
        <v>68</v>
      </c>
      <c r="R11" s="26">
        <v>6898.9000000000005</v>
      </c>
    </row>
    <row r="12" spans="1:18" x14ac:dyDescent="0.35">
      <c r="A12" s="69" t="s">
        <v>33</v>
      </c>
      <c r="B12" s="17">
        <v>2022</v>
      </c>
      <c r="C12" s="17" t="s">
        <v>42</v>
      </c>
      <c r="D12" s="17" t="str">
        <f t="shared" si="0"/>
        <v>September-2022</v>
      </c>
      <c r="E12" s="4">
        <v>2306.4</v>
      </c>
      <c r="F12" s="4">
        <v>509.7</v>
      </c>
      <c r="G12" s="4">
        <v>334.5</v>
      </c>
      <c r="H12" s="4">
        <v>344.9</v>
      </c>
      <c r="I12" s="4">
        <v>179.2</v>
      </c>
      <c r="J12" s="4">
        <v>158.19999999999999</v>
      </c>
      <c r="K12" s="4">
        <v>165.8</v>
      </c>
      <c r="L12" s="4">
        <v>170.9</v>
      </c>
      <c r="M12" s="4">
        <v>199.7</v>
      </c>
      <c r="N12" s="4">
        <v>166.1</v>
      </c>
      <c r="O12" s="4">
        <v>174.1</v>
      </c>
      <c r="P12" s="70">
        <v>4535.3999999999996</v>
      </c>
      <c r="Q12" s="1" t="s">
        <v>69</v>
      </c>
      <c r="R12" s="26">
        <v>6904.1</v>
      </c>
    </row>
    <row r="13" spans="1:18" x14ac:dyDescent="0.35">
      <c r="A13" s="69" t="s">
        <v>34</v>
      </c>
      <c r="B13" s="17">
        <v>2022</v>
      </c>
      <c r="C13" s="17" t="s">
        <v>42</v>
      </c>
      <c r="D13" s="17" t="str">
        <f t="shared" si="0"/>
        <v>September-2022</v>
      </c>
      <c r="E13" s="4">
        <v>2280.9</v>
      </c>
      <c r="F13" s="4">
        <v>535.1</v>
      </c>
      <c r="G13" s="4">
        <v>339</v>
      </c>
      <c r="H13" s="4">
        <v>348.70000000000005</v>
      </c>
      <c r="I13" s="4">
        <v>179.5</v>
      </c>
      <c r="J13" s="4">
        <v>162.30000000000001</v>
      </c>
      <c r="K13" s="4">
        <v>167.6</v>
      </c>
      <c r="L13" s="4">
        <v>173.1</v>
      </c>
      <c r="M13" s="4">
        <v>195.9</v>
      </c>
      <c r="N13" s="4">
        <v>169.7</v>
      </c>
      <c r="O13" s="4">
        <v>175.3</v>
      </c>
      <c r="P13" s="70">
        <v>4551.7999999999993</v>
      </c>
      <c r="Q13" s="1" t="s">
        <v>70</v>
      </c>
      <c r="R13" s="26">
        <v>6855.1</v>
      </c>
    </row>
    <row r="14" spans="1:18" x14ac:dyDescent="0.35">
      <c r="A14" s="69" t="s">
        <v>30</v>
      </c>
      <c r="B14" s="17">
        <v>2022</v>
      </c>
      <c r="C14" s="17" t="s">
        <v>43</v>
      </c>
      <c r="D14" s="17" t="str">
        <f t="shared" si="0"/>
        <v>October-2022</v>
      </c>
      <c r="E14" s="4">
        <v>2284.5</v>
      </c>
      <c r="F14" s="4">
        <v>556.4</v>
      </c>
      <c r="G14" s="4">
        <v>345.6</v>
      </c>
      <c r="H14" s="4">
        <v>353.2</v>
      </c>
      <c r="I14" s="4">
        <v>180.8</v>
      </c>
      <c r="J14" s="4">
        <v>167.4</v>
      </c>
      <c r="K14" s="4">
        <v>170.6</v>
      </c>
      <c r="L14" s="4">
        <v>176.5</v>
      </c>
      <c r="M14" s="4">
        <v>194.9</v>
      </c>
      <c r="N14" s="4">
        <v>173.9</v>
      </c>
      <c r="O14" s="4">
        <v>177.9</v>
      </c>
      <c r="P14" s="70">
        <v>4603.7999999999993</v>
      </c>
      <c r="Q14" s="23" t="s">
        <v>53</v>
      </c>
      <c r="R14" s="30">
        <v>82337.900000000009</v>
      </c>
    </row>
    <row r="15" spans="1:18" x14ac:dyDescent="0.35">
      <c r="A15" s="69" t="s">
        <v>33</v>
      </c>
      <c r="B15" s="17">
        <v>2022</v>
      </c>
      <c r="C15" s="17" t="s">
        <v>43</v>
      </c>
      <c r="D15" s="17" t="str">
        <f t="shared" si="0"/>
        <v>October-2022</v>
      </c>
      <c r="E15" s="4">
        <v>2322.3000000000002</v>
      </c>
      <c r="F15" s="4">
        <v>511.70000000000005</v>
      </c>
      <c r="G15" s="4">
        <v>337.2</v>
      </c>
      <c r="H15" s="4">
        <v>347</v>
      </c>
      <c r="I15" s="4">
        <v>180</v>
      </c>
      <c r="J15" s="4">
        <v>158.80000000000001</v>
      </c>
      <c r="K15" s="4">
        <v>166.3</v>
      </c>
      <c r="L15" s="4">
        <v>171.2</v>
      </c>
      <c r="M15" s="4">
        <v>200.1</v>
      </c>
      <c r="N15" s="4">
        <v>166.8</v>
      </c>
      <c r="O15" s="4">
        <v>175.3</v>
      </c>
      <c r="P15" s="70">
        <v>4561.4000000000005</v>
      </c>
    </row>
    <row r="16" spans="1:18" x14ac:dyDescent="0.35">
      <c r="A16" s="69" t="s">
        <v>34</v>
      </c>
      <c r="B16" s="17">
        <v>2022</v>
      </c>
      <c r="C16" s="17" t="s">
        <v>43</v>
      </c>
      <c r="D16" s="17" t="str">
        <f t="shared" si="0"/>
        <v>October-2022</v>
      </c>
      <c r="E16" s="4">
        <v>2297.3000000000002</v>
      </c>
      <c r="F16" s="4">
        <v>538.20000000000005</v>
      </c>
      <c r="G16" s="4">
        <v>341.6</v>
      </c>
      <c r="H16" s="4">
        <v>350.79999999999995</v>
      </c>
      <c r="I16" s="4">
        <v>180.5</v>
      </c>
      <c r="J16" s="4">
        <v>162.9</v>
      </c>
      <c r="K16" s="4">
        <v>168.2</v>
      </c>
      <c r="L16" s="4">
        <v>173.4</v>
      </c>
      <c r="M16" s="4">
        <v>196.3</v>
      </c>
      <c r="N16" s="4">
        <v>170.5</v>
      </c>
      <c r="O16" s="4">
        <v>176.7</v>
      </c>
      <c r="P16" s="70">
        <v>4579.7</v>
      </c>
    </row>
    <row r="17" spans="1:26" x14ac:dyDescent="0.35">
      <c r="A17" s="69" t="s">
        <v>30</v>
      </c>
      <c r="B17" s="17">
        <v>2022</v>
      </c>
      <c r="C17" s="17" t="s">
        <v>45</v>
      </c>
      <c r="D17" s="17" t="str">
        <f t="shared" si="0"/>
        <v>November-2022</v>
      </c>
      <c r="E17" s="4">
        <v>2287.6999999999998</v>
      </c>
      <c r="F17" s="4">
        <v>559.29999999999995</v>
      </c>
      <c r="G17" s="4">
        <v>347.3</v>
      </c>
      <c r="H17" s="4">
        <v>355.70000000000005</v>
      </c>
      <c r="I17" s="4">
        <v>181.9</v>
      </c>
      <c r="J17" s="4">
        <v>167.5</v>
      </c>
      <c r="K17" s="4">
        <v>170.8</v>
      </c>
      <c r="L17" s="4">
        <v>176.9</v>
      </c>
      <c r="M17" s="4">
        <v>195.5</v>
      </c>
      <c r="N17" s="4">
        <v>174.6</v>
      </c>
      <c r="O17" s="4">
        <v>177.8</v>
      </c>
      <c r="P17" s="70">
        <v>4617.2000000000007</v>
      </c>
      <c r="Q17" s="112" t="s">
        <v>86</v>
      </c>
      <c r="R17" s="112" t="s">
        <v>136</v>
      </c>
      <c r="S17" s="112" t="s">
        <v>146</v>
      </c>
      <c r="T17" s="41" t="s">
        <v>87</v>
      </c>
    </row>
    <row r="18" spans="1:26" x14ac:dyDescent="0.35">
      <c r="A18" s="69" t="s">
        <v>33</v>
      </c>
      <c r="B18" s="17">
        <v>2022</v>
      </c>
      <c r="C18" s="17" t="s">
        <v>45</v>
      </c>
      <c r="D18" s="17" t="str">
        <f t="shared" si="0"/>
        <v>November-2022</v>
      </c>
      <c r="E18" s="4">
        <v>2314.4</v>
      </c>
      <c r="F18" s="4">
        <v>514.9</v>
      </c>
      <c r="G18" s="4">
        <v>338.70000000000005</v>
      </c>
      <c r="H18" s="4">
        <v>349.6</v>
      </c>
      <c r="I18" s="4">
        <v>180.3</v>
      </c>
      <c r="J18" s="4">
        <v>158.9</v>
      </c>
      <c r="K18" s="4">
        <v>166.7</v>
      </c>
      <c r="L18" s="4">
        <v>171.5</v>
      </c>
      <c r="M18" s="4">
        <v>200.6</v>
      </c>
      <c r="N18" s="4">
        <v>167.4</v>
      </c>
      <c r="O18" s="4">
        <v>174.1</v>
      </c>
      <c r="P18" s="70">
        <v>4563</v>
      </c>
      <c r="Q18" s="11" t="s">
        <v>12</v>
      </c>
      <c r="R18" s="11">
        <v>91.399999999999977</v>
      </c>
      <c r="S18" s="11" t="s">
        <v>139</v>
      </c>
      <c r="T18" s="114" t="s">
        <v>88</v>
      </c>
    </row>
    <row r="19" spans="1:26" x14ac:dyDescent="0.35">
      <c r="A19" s="69" t="s">
        <v>34</v>
      </c>
      <c r="B19" s="17">
        <v>2022</v>
      </c>
      <c r="C19" s="17" t="s">
        <v>45</v>
      </c>
      <c r="D19" s="17" t="str">
        <f t="shared" si="0"/>
        <v>November-2022</v>
      </c>
      <c r="E19" s="4">
        <v>2296.8000000000002</v>
      </c>
      <c r="F19" s="4">
        <v>541.4</v>
      </c>
      <c r="G19" s="4">
        <v>343.20000000000005</v>
      </c>
      <c r="H19" s="4">
        <v>353.4</v>
      </c>
      <c r="I19" s="4">
        <v>181.3</v>
      </c>
      <c r="J19" s="4">
        <v>163</v>
      </c>
      <c r="K19" s="4">
        <v>168.5</v>
      </c>
      <c r="L19" s="4">
        <v>173.7</v>
      </c>
      <c r="M19" s="4">
        <v>196.9</v>
      </c>
      <c r="N19" s="4">
        <v>171.1</v>
      </c>
      <c r="O19" s="4">
        <v>176.5</v>
      </c>
      <c r="P19" s="70">
        <v>4589.3000000000011</v>
      </c>
      <c r="Q19" s="11" t="s">
        <v>3</v>
      </c>
      <c r="R19" s="11">
        <v>55.299999999999898</v>
      </c>
      <c r="S19" s="11" t="s">
        <v>140</v>
      </c>
      <c r="T19" s="115" t="s">
        <v>148</v>
      </c>
    </row>
    <row r="20" spans="1:26" x14ac:dyDescent="0.35">
      <c r="A20" s="69" t="s">
        <v>30</v>
      </c>
      <c r="B20" s="17">
        <v>2022</v>
      </c>
      <c r="C20" s="17" t="s">
        <v>46</v>
      </c>
      <c r="D20" s="17" t="str">
        <f t="shared" si="0"/>
        <v>December-2022</v>
      </c>
      <c r="E20" s="4">
        <v>2277.1</v>
      </c>
      <c r="F20" s="4">
        <v>561.79999999999995</v>
      </c>
      <c r="G20" s="4">
        <v>347.1</v>
      </c>
      <c r="H20" s="4">
        <v>359.2</v>
      </c>
      <c r="I20" s="4">
        <v>182.8</v>
      </c>
      <c r="J20" s="4">
        <v>167.8</v>
      </c>
      <c r="K20" s="4">
        <v>171.2</v>
      </c>
      <c r="L20" s="4">
        <v>177.3</v>
      </c>
      <c r="M20" s="4">
        <v>195.9</v>
      </c>
      <c r="N20" s="4">
        <v>175.5</v>
      </c>
      <c r="O20" s="4">
        <v>177.1</v>
      </c>
      <c r="P20" s="70">
        <v>4615.6999999999989</v>
      </c>
      <c r="Q20" s="11" t="s">
        <v>6</v>
      </c>
      <c r="R20" s="11">
        <v>40.899999999999977</v>
      </c>
      <c r="S20" s="11" t="s">
        <v>140</v>
      </c>
      <c r="T20" s="114" t="s">
        <v>134</v>
      </c>
    </row>
    <row r="21" spans="1:26" x14ac:dyDescent="0.35">
      <c r="A21" s="69" t="s">
        <v>33</v>
      </c>
      <c r="B21" s="17">
        <v>2022</v>
      </c>
      <c r="C21" s="17" t="s">
        <v>46</v>
      </c>
      <c r="D21" s="17" t="str">
        <f t="shared" si="0"/>
        <v>December-2022</v>
      </c>
      <c r="E21" s="4">
        <v>2295.7999999999997</v>
      </c>
      <c r="F21" s="4">
        <v>517.9</v>
      </c>
      <c r="G21" s="4">
        <v>338</v>
      </c>
      <c r="H21" s="4">
        <v>353.2</v>
      </c>
      <c r="I21" s="4">
        <v>180.6</v>
      </c>
      <c r="J21" s="4">
        <v>159.4</v>
      </c>
      <c r="K21" s="4">
        <v>167.1</v>
      </c>
      <c r="L21" s="4">
        <v>171.8</v>
      </c>
      <c r="M21" s="4">
        <v>201.1</v>
      </c>
      <c r="N21" s="4">
        <v>168.2</v>
      </c>
      <c r="O21" s="4">
        <v>174.1</v>
      </c>
      <c r="P21" s="70">
        <v>4553.0999999999995</v>
      </c>
      <c r="Q21" s="11" t="s">
        <v>10</v>
      </c>
      <c r="R21" s="11">
        <v>34.899999999999977</v>
      </c>
      <c r="S21" s="11" t="s">
        <v>141</v>
      </c>
      <c r="T21" s="114"/>
    </row>
    <row r="22" spans="1:26" x14ac:dyDescent="0.35">
      <c r="A22" s="69" t="s">
        <v>34</v>
      </c>
      <c r="B22" s="17">
        <v>2022</v>
      </c>
      <c r="C22" s="17" t="s">
        <v>46</v>
      </c>
      <c r="D22" s="17" t="str">
        <f t="shared" si="0"/>
        <v>December-2022</v>
      </c>
      <c r="E22" s="4">
        <v>2283.4</v>
      </c>
      <c r="F22" s="4">
        <v>544</v>
      </c>
      <c r="G22" s="4">
        <v>342.79999999999995</v>
      </c>
      <c r="H22" s="4">
        <v>356.9</v>
      </c>
      <c r="I22" s="4">
        <v>182</v>
      </c>
      <c r="J22" s="4">
        <v>163.4</v>
      </c>
      <c r="K22" s="4">
        <v>168.9</v>
      </c>
      <c r="L22" s="4">
        <v>174.1</v>
      </c>
      <c r="M22" s="4">
        <v>197.3</v>
      </c>
      <c r="N22" s="4">
        <v>172</v>
      </c>
      <c r="O22" s="4">
        <v>175.7</v>
      </c>
      <c r="P22" s="70">
        <v>4584.8</v>
      </c>
      <c r="Q22" s="11" t="s">
        <v>14</v>
      </c>
      <c r="R22" s="11">
        <v>30.899999999999977</v>
      </c>
      <c r="S22" s="11" t="s">
        <v>141</v>
      </c>
      <c r="Z22" s="113"/>
    </row>
    <row r="23" spans="1:26" x14ac:dyDescent="0.35">
      <c r="A23" s="69" t="s">
        <v>30</v>
      </c>
      <c r="B23" s="17">
        <v>2023</v>
      </c>
      <c r="C23" s="17" t="s">
        <v>31</v>
      </c>
      <c r="D23" s="17" t="str">
        <f t="shared" si="0"/>
        <v>January-2023</v>
      </c>
      <c r="E23" s="4">
        <v>2283.2000000000003</v>
      </c>
      <c r="F23" s="4">
        <v>563.9</v>
      </c>
      <c r="G23" s="4">
        <v>349.29999999999995</v>
      </c>
      <c r="H23" s="4">
        <v>363.1</v>
      </c>
      <c r="I23" s="4">
        <v>183.2</v>
      </c>
      <c r="J23" s="4">
        <v>168.2</v>
      </c>
      <c r="K23" s="4">
        <v>171.8</v>
      </c>
      <c r="L23" s="4">
        <v>177.8</v>
      </c>
      <c r="M23" s="4">
        <v>196.9</v>
      </c>
      <c r="N23" s="4">
        <v>176.5</v>
      </c>
      <c r="O23" s="4">
        <v>177.8</v>
      </c>
      <c r="P23" s="70">
        <v>4633.8999999999996</v>
      </c>
      <c r="Q23" s="11" t="s">
        <v>13</v>
      </c>
      <c r="R23" s="11">
        <v>16.800000000000068</v>
      </c>
      <c r="S23" s="11" t="s">
        <v>142</v>
      </c>
    </row>
    <row r="24" spans="1:26" x14ac:dyDescent="0.35">
      <c r="A24" s="69" t="s">
        <v>33</v>
      </c>
      <c r="B24" s="17">
        <v>2023</v>
      </c>
      <c r="C24" s="17" t="s">
        <v>31</v>
      </c>
      <c r="D24" s="17" t="str">
        <f t="shared" si="0"/>
        <v>January-2023</v>
      </c>
      <c r="E24" s="4">
        <v>2310.2000000000003</v>
      </c>
      <c r="F24" s="4">
        <v>520.6</v>
      </c>
      <c r="G24" s="4">
        <v>340.1</v>
      </c>
      <c r="H24" s="4">
        <v>357.3</v>
      </c>
      <c r="I24" s="4">
        <v>180.1</v>
      </c>
      <c r="J24" s="4">
        <v>159.5</v>
      </c>
      <c r="K24" s="4">
        <v>167.8</v>
      </c>
      <c r="L24" s="4">
        <v>171.8</v>
      </c>
      <c r="M24" s="4">
        <v>201.6</v>
      </c>
      <c r="N24" s="4">
        <v>168.9</v>
      </c>
      <c r="O24" s="4">
        <v>174.9</v>
      </c>
      <c r="P24" s="70">
        <v>4577.9000000000005</v>
      </c>
      <c r="Q24" s="11" t="s">
        <v>15</v>
      </c>
      <c r="R24" s="11">
        <v>12.399999999999977</v>
      </c>
      <c r="S24" s="11" t="s">
        <v>142</v>
      </c>
    </row>
    <row r="25" spans="1:26" x14ac:dyDescent="0.35">
      <c r="A25" s="69" t="s">
        <v>34</v>
      </c>
      <c r="B25" s="17">
        <v>2023</v>
      </c>
      <c r="C25" s="17" t="s">
        <v>31</v>
      </c>
      <c r="D25" s="17" t="str">
        <f t="shared" si="0"/>
        <v>January-2023</v>
      </c>
      <c r="E25" s="4">
        <v>2292.6999999999998</v>
      </c>
      <c r="F25" s="4">
        <v>546.29999999999995</v>
      </c>
      <c r="G25" s="4">
        <v>345</v>
      </c>
      <c r="H25" s="4">
        <v>360.9</v>
      </c>
      <c r="I25" s="4">
        <v>182</v>
      </c>
      <c r="J25" s="4">
        <v>163.6</v>
      </c>
      <c r="K25" s="4">
        <v>169.5</v>
      </c>
      <c r="L25" s="4">
        <v>174.3</v>
      </c>
      <c r="M25" s="4">
        <v>198.2</v>
      </c>
      <c r="N25" s="4">
        <v>172.8</v>
      </c>
      <c r="O25" s="4">
        <v>176.5</v>
      </c>
      <c r="P25" s="70">
        <v>4605.3</v>
      </c>
      <c r="Q25" s="11" t="s">
        <v>11</v>
      </c>
      <c r="R25" s="11">
        <v>8.4000000000000341</v>
      </c>
      <c r="S25" s="11" t="s">
        <v>142</v>
      </c>
    </row>
    <row r="26" spans="1:26" x14ac:dyDescent="0.35">
      <c r="A26" s="69" t="s">
        <v>30</v>
      </c>
      <c r="B26" s="17">
        <v>2023</v>
      </c>
      <c r="C26" s="17" t="s">
        <v>35</v>
      </c>
      <c r="D26" s="17" t="str">
        <f t="shared" si="0"/>
        <v>February-2023</v>
      </c>
      <c r="E26" s="4">
        <v>2265.6999999999998</v>
      </c>
      <c r="F26" s="4">
        <v>566.6</v>
      </c>
      <c r="G26" s="4">
        <v>352.1</v>
      </c>
      <c r="H26" s="4">
        <v>367.29999999999995</v>
      </c>
      <c r="I26" s="4">
        <v>181.6</v>
      </c>
      <c r="J26" s="4">
        <v>169</v>
      </c>
      <c r="K26" s="4">
        <v>172.8</v>
      </c>
      <c r="L26" s="4">
        <v>178.5</v>
      </c>
      <c r="M26" s="4">
        <v>198.3</v>
      </c>
      <c r="N26" s="4">
        <v>177.9</v>
      </c>
      <c r="O26" s="4">
        <v>178</v>
      </c>
      <c r="P26" s="70">
        <v>4629.8</v>
      </c>
      <c r="Q26" s="11" t="s">
        <v>5</v>
      </c>
      <c r="R26" s="11">
        <v>7.6999999999999318</v>
      </c>
      <c r="S26" s="11" t="s">
        <v>142</v>
      </c>
    </row>
    <row r="27" spans="1:26" x14ac:dyDescent="0.35">
      <c r="A27" s="69" t="s">
        <v>33</v>
      </c>
      <c r="B27" s="17">
        <v>2023</v>
      </c>
      <c r="C27" s="17" t="s">
        <v>35</v>
      </c>
      <c r="D27" s="17" t="str">
        <f t="shared" si="0"/>
        <v>February-2023</v>
      </c>
      <c r="E27" s="4">
        <v>2303.1999999999998</v>
      </c>
      <c r="F27" s="4">
        <v>525.5</v>
      </c>
      <c r="G27" s="4">
        <v>342.7</v>
      </c>
      <c r="H27" s="4">
        <v>362.20000000000005</v>
      </c>
      <c r="I27" s="4">
        <v>182.8</v>
      </c>
      <c r="J27" s="4">
        <v>159.80000000000001</v>
      </c>
      <c r="K27" s="4">
        <v>168.4</v>
      </c>
      <c r="L27" s="4">
        <v>172.5</v>
      </c>
      <c r="M27" s="4">
        <v>202.7</v>
      </c>
      <c r="N27" s="4">
        <v>170</v>
      </c>
      <c r="O27" s="4">
        <v>176.3</v>
      </c>
      <c r="P27" s="70">
        <v>4589.8</v>
      </c>
      <c r="Q27" s="11" t="s">
        <v>8</v>
      </c>
      <c r="R27" s="11">
        <v>7.4000000000000341</v>
      </c>
      <c r="S27" s="11" t="s">
        <v>142</v>
      </c>
    </row>
    <row r="28" spans="1:26" x14ac:dyDescent="0.35">
      <c r="A28" s="69" t="s">
        <v>34</v>
      </c>
      <c r="B28" s="17">
        <v>2023</v>
      </c>
      <c r="C28" s="17" t="s">
        <v>35</v>
      </c>
      <c r="D28" s="17" t="str">
        <f t="shared" si="0"/>
        <v>February-2023</v>
      </c>
      <c r="E28" s="4">
        <v>2279.1</v>
      </c>
      <c r="F28" s="4">
        <v>550</v>
      </c>
      <c r="G28" s="4">
        <v>347.7</v>
      </c>
      <c r="H28" s="4">
        <v>365.4</v>
      </c>
      <c r="I28" s="4">
        <v>182.1</v>
      </c>
      <c r="J28" s="4">
        <v>164.2</v>
      </c>
      <c r="K28" s="4">
        <v>170.3</v>
      </c>
      <c r="L28" s="4">
        <v>175</v>
      </c>
      <c r="M28" s="4">
        <v>199.5</v>
      </c>
      <c r="N28" s="4">
        <v>174.1</v>
      </c>
      <c r="O28" s="4">
        <v>177.2</v>
      </c>
      <c r="P28" s="70">
        <v>4607.3999999999996</v>
      </c>
      <c r="Q28" s="11" t="s">
        <v>4</v>
      </c>
      <c r="R28" s="11">
        <v>-14.799999999999955</v>
      </c>
      <c r="S28" s="11" t="s">
        <v>143</v>
      </c>
    </row>
    <row r="29" spans="1:26" x14ac:dyDescent="0.35">
      <c r="A29" s="69" t="s">
        <v>30</v>
      </c>
      <c r="B29" s="17">
        <v>2023</v>
      </c>
      <c r="C29" s="17" t="s">
        <v>36</v>
      </c>
      <c r="D29" s="17" t="str">
        <f t="shared" si="0"/>
        <v>March-2023</v>
      </c>
      <c r="E29" s="4">
        <v>2265.8000000000002</v>
      </c>
      <c r="F29" s="4">
        <v>566.6</v>
      </c>
      <c r="G29" s="4">
        <v>352.1</v>
      </c>
      <c r="H29" s="4">
        <v>367.29999999999995</v>
      </c>
      <c r="I29" s="4">
        <v>181.4</v>
      </c>
      <c r="J29" s="4">
        <v>169</v>
      </c>
      <c r="K29" s="4">
        <v>172.8</v>
      </c>
      <c r="L29" s="4">
        <v>178.5</v>
      </c>
      <c r="M29" s="4">
        <v>198.4</v>
      </c>
      <c r="N29" s="4">
        <v>177.9</v>
      </c>
      <c r="O29" s="4">
        <v>178</v>
      </c>
      <c r="P29" s="70">
        <v>4629.7999999999993</v>
      </c>
      <c r="Q29" s="11" t="s">
        <v>9</v>
      </c>
      <c r="R29" s="11">
        <v>-66.400000000000034</v>
      </c>
      <c r="S29" s="11" t="s">
        <v>144</v>
      </c>
    </row>
    <row r="30" spans="1:26" x14ac:dyDescent="0.35">
      <c r="A30" s="69" t="s">
        <v>33</v>
      </c>
      <c r="B30" s="17">
        <v>2023</v>
      </c>
      <c r="C30" s="17" t="s">
        <v>36</v>
      </c>
      <c r="D30" s="17" t="str">
        <f t="shared" si="0"/>
        <v>March-2023</v>
      </c>
      <c r="E30" s="4">
        <v>2303.4</v>
      </c>
      <c r="F30" s="4">
        <v>525.4</v>
      </c>
      <c r="G30" s="4">
        <v>342.7</v>
      </c>
      <c r="H30" s="4">
        <v>362.3</v>
      </c>
      <c r="I30" s="4">
        <v>182.6</v>
      </c>
      <c r="J30" s="4">
        <v>159.80000000000001</v>
      </c>
      <c r="K30" s="4">
        <v>168.4</v>
      </c>
      <c r="L30" s="4">
        <v>172.5</v>
      </c>
      <c r="M30" s="4">
        <v>202.7</v>
      </c>
      <c r="N30" s="4">
        <v>170</v>
      </c>
      <c r="O30" s="4">
        <v>176.3</v>
      </c>
      <c r="P30" s="70">
        <v>4589.8</v>
      </c>
      <c r="Q30" s="11" t="s">
        <v>7</v>
      </c>
      <c r="R30" s="11">
        <v>-89.899999999999977</v>
      </c>
      <c r="S30" s="11" t="s">
        <v>145</v>
      </c>
    </row>
    <row r="31" spans="1:26" x14ac:dyDescent="0.35">
      <c r="A31" s="69" t="s">
        <v>34</v>
      </c>
      <c r="B31" s="17">
        <v>2023</v>
      </c>
      <c r="C31" s="17" t="s">
        <v>36</v>
      </c>
      <c r="D31" s="17" t="str">
        <f t="shared" si="0"/>
        <v>March-2023</v>
      </c>
      <c r="E31" s="4">
        <v>2279.1999999999998</v>
      </c>
      <c r="F31" s="4">
        <v>549.9</v>
      </c>
      <c r="G31" s="4">
        <v>347.7</v>
      </c>
      <c r="H31" s="4">
        <v>365.4</v>
      </c>
      <c r="I31" s="4">
        <v>181.9</v>
      </c>
      <c r="J31" s="4">
        <v>164.2</v>
      </c>
      <c r="K31" s="4">
        <v>170.3</v>
      </c>
      <c r="L31" s="4">
        <v>175</v>
      </c>
      <c r="M31" s="4">
        <v>199.5</v>
      </c>
      <c r="N31" s="4">
        <v>174.1</v>
      </c>
      <c r="O31" s="4">
        <v>177.2</v>
      </c>
      <c r="P31" s="70">
        <v>4607.2000000000007</v>
      </c>
    </row>
    <row r="32" spans="1:26" x14ac:dyDescent="0.35">
      <c r="A32" s="69" t="s">
        <v>30</v>
      </c>
      <c r="B32" s="17">
        <v>2023</v>
      </c>
      <c r="C32" s="17" t="s">
        <v>37</v>
      </c>
      <c r="D32" s="17" t="str">
        <f t="shared" si="0"/>
        <v>April-2023</v>
      </c>
      <c r="E32" s="4">
        <v>2274.1999999999998</v>
      </c>
      <c r="F32" s="4">
        <v>568.20000000000005</v>
      </c>
      <c r="G32" s="4">
        <v>354.29999999999995</v>
      </c>
      <c r="H32" s="4">
        <v>371</v>
      </c>
      <c r="I32" s="4">
        <v>181.5</v>
      </c>
      <c r="J32" s="4">
        <v>169.4</v>
      </c>
      <c r="K32" s="4">
        <v>173.2</v>
      </c>
      <c r="L32" s="4">
        <v>179.4</v>
      </c>
      <c r="M32" s="4">
        <v>199.5</v>
      </c>
      <c r="N32" s="4">
        <v>178.9</v>
      </c>
      <c r="O32" s="4">
        <v>178.8</v>
      </c>
      <c r="P32" s="70">
        <v>4649.5999999999995</v>
      </c>
    </row>
    <row r="33" spans="1:18" x14ac:dyDescent="0.35">
      <c r="A33" s="69" t="s">
        <v>33</v>
      </c>
      <c r="B33" s="17">
        <v>2023</v>
      </c>
      <c r="C33" s="17" t="s">
        <v>37</v>
      </c>
      <c r="D33" s="17" t="str">
        <f t="shared" si="0"/>
        <v>April-2023</v>
      </c>
      <c r="E33" s="4">
        <v>2317.7000000000003</v>
      </c>
      <c r="F33" s="4">
        <v>527.6</v>
      </c>
      <c r="G33" s="4">
        <v>344.79999999999995</v>
      </c>
      <c r="H33" s="4">
        <v>365.9</v>
      </c>
      <c r="I33" s="4">
        <v>182.1</v>
      </c>
      <c r="J33" s="4">
        <v>160.1</v>
      </c>
      <c r="K33" s="4">
        <v>168.8</v>
      </c>
      <c r="L33" s="4">
        <v>174.2</v>
      </c>
      <c r="M33" s="4">
        <v>203.5</v>
      </c>
      <c r="N33" s="4">
        <v>170.9</v>
      </c>
      <c r="O33" s="4">
        <v>177.4</v>
      </c>
      <c r="P33" s="70">
        <v>4615.6000000000004</v>
      </c>
      <c r="Q33" s="1" t="s">
        <v>135</v>
      </c>
    </row>
    <row r="34" spans="1:18" x14ac:dyDescent="0.35">
      <c r="A34" s="69" t="s">
        <v>34</v>
      </c>
      <c r="B34" s="17">
        <v>2023</v>
      </c>
      <c r="C34" s="17" t="s">
        <v>37</v>
      </c>
      <c r="D34" s="17" t="str">
        <f t="shared" si="0"/>
        <v>April-2023</v>
      </c>
      <c r="E34" s="4">
        <v>2289.6000000000004</v>
      </c>
      <c r="F34" s="4">
        <v>551.79999999999995</v>
      </c>
      <c r="G34" s="4">
        <v>349.79999999999995</v>
      </c>
      <c r="H34" s="4">
        <v>369</v>
      </c>
      <c r="I34" s="4">
        <v>181.7</v>
      </c>
      <c r="J34" s="4">
        <v>164.5</v>
      </c>
      <c r="K34" s="4">
        <v>170.7</v>
      </c>
      <c r="L34" s="4">
        <v>176.4</v>
      </c>
      <c r="M34" s="4">
        <v>200.6</v>
      </c>
      <c r="N34" s="4">
        <v>175</v>
      </c>
      <c r="O34" s="4">
        <v>178.1</v>
      </c>
      <c r="P34" s="70">
        <v>4629.1000000000004</v>
      </c>
      <c r="Q34" s="56" t="s">
        <v>86</v>
      </c>
      <c r="R34" s="56" t="s">
        <v>85</v>
      </c>
    </row>
    <row r="35" spans="1:18" x14ac:dyDescent="0.35">
      <c r="A35" s="69" t="s">
        <v>30</v>
      </c>
      <c r="B35" s="17">
        <v>2023</v>
      </c>
      <c r="C35" s="17" t="s">
        <v>38</v>
      </c>
      <c r="D35" s="17" t="str">
        <f t="shared" si="0"/>
        <v>May-2023</v>
      </c>
      <c r="E35" s="4">
        <v>2290.7000000000007</v>
      </c>
      <c r="F35" s="4">
        <v>569.90000000000009</v>
      </c>
      <c r="G35" s="4">
        <v>355.4</v>
      </c>
      <c r="H35" s="4">
        <v>372.70000000000005</v>
      </c>
      <c r="I35" s="4">
        <v>182.5</v>
      </c>
      <c r="J35" s="4">
        <v>169.7</v>
      </c>
      <c r="K35" s="4">
        <v>173.8</v>
      </c>
      <c r="L35" s="4">
        <v>180.3</v>
      </c>
      <c r="M35" s="4">
        <v>199.9</v>
      </c>
      <c r="N35" s="4">
        <v>179.5</v>
      </c>
      <c r="O35" s="4">
        <v>179.8</v>
      </c>
      <c r="P35" s="70">
        <v>4674.4000000000005</v>
      </c>
      <c r="Q35" s="17" t="s">
        <v>3</v>
      </c>
      <c r="R35" s="36">
        <v>6028.9999999999991</v>
      </c>
    </row>
    <row r="36" spans="1:18" x14ac:dyDescent="0.35">
      <c r="A36" s="69" t="s">
        <v>33</v>
      </c>
      <c r="B36" s="17">
        <v>2023</v>
      </c>
      <c r="C36" s="17" t="s">
        <v>38</v>
      </c>
      <c r="D36" s="17" t="str">
        <f t="shared" si="0"/>
        <v>May-2023</v>
      </c>
      <c r="E36" s="4">
        <v>2335.1</v>
      </c>
      <c r="F36" s="4">
        <v>528.70000000000005</v>
      </c>
      <c r="G36" s="4">
        <v>345.7</v>
      </c>
      <c r="H36" s="4">
        <v>367.79999999999995</v>
      </c>
      <c r="I36" s="4">
        <v>183.4</v>
      </c>
      <c r="J36" s="4">
        <v>160.4</v>
      </c>
      <c r="K36" s="4">
        <v>169.2</v>
      </c>
      <c r="L36" s="4">
        <v>174.8</v>
      </c>
      <c r="M36" s="4">
        <v>204.2</v>
      </c>
      <c r="N36" s="4">
        <v>171.6</v>
      </c>
      <c r="O36" s="4">
        <v>178.2</v>
      </c>
      <c r="P36" s="70">
        <v>4640.9000000000005</v>
      </c>
      <c r="Q36" s="17" t="s">
        <v>5</v>
      </c>
      <c r="R36" s="36">
        <v>6353.8999999999978</v>
      </c>
    </row>
    <row r="37" spans="1:18" ht="15" thickBot="1" x14ac:dyDescent="0.4">
      <c r="A37" s="69" t="s">
        <v>34</v>
      </c>
      <c r="B37" s="17">
        <v>2023</v>
      </c>
      <c r="C37" s="17" t="s">
        <v>38</v>
      </c>
      <c r="D37" s="17" t="str">
        <f t="shared" si="0"/>
        <v>May-2023</v>
      </c>
      <c r="E37" s="4">
        <v>2306.9</v>
      </c>
      <c r="F37" s="4">
        <v>553.20000000000005</v>
      </c>
      <c r="G37" s="4">
        <v>350.79999999999995</v>
      </c>
      <c r="H37" s="4">
        <v>370.9</v>
      </c>
      <c r="I37" s="4">
        <v>182.8</v>
      </c>
      <c r="J37" s="4">
        <v>164.8</v>
      </c>
      <c r="K37" s="4">
        <v>171.2</v>
      </c>
      <c r="L37" s="4">
        <v>177.1</v>
      </c>
      <c r="M37" s="4">
        <v>201</v>
      </c>
      <c r="N37" s="4">
        <v>175.7</v>
      </c>
      <c r="O37" s="4">
        <v>179.1</v>
      </c>
      <c r="P37" s="70">
        <v>4654.4000000000015</v>
      </c>
      <c r="Q37" s="17" t="s">
        <v>15</v>
      </c>
      <c r="R37" s="36">
        <v>6395.4000000000024</v>
      </c>
    </row>
    <row r="38" spans="1:18" x14ac:dyDescent="0.35">
      <c r="A38" s="73" t="s">
        <v>30</v>
      </c>
      <c r="B38" s="74" t="s">
        <v>136</v>
      </c>
      <c r="C38" s="74"/>
      <c r="D38" s="74" t="s">
        <v>137</v>
      </c>
      <c r="E38" s="80">
        <f>E35-E2</f>
        <v>42.400000000000546</v>
      </c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5"/>
      <c r="Q38" s="17" t="s">
        <v>8</v>
      </c>
      <c r="R38" s="36">
        <v>6036.5999999999995</v>
      </c>
    </row>
    <row r="39" spans="1:18" x14ac:dyDescent="0.35">
      <c r="A39" s="69" t="s">
        <v>33</v>
      </c>
      <c r="B39" s="76" t="s">
        <v>136</v>
      </c>
      <c r="C39" s="76"/>
      <c r="D39" s="76" t="s">
        <v>137</v>
      </c>
      <c r="E39" s="4">
        <f t="shared" ref="E39:E40" si="1">E36-E3</f>
        <v>47.599999999999909</v>
      </c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7"/>
      <c r="Q39" s="37" t="s">
        <v>4</v>
      </c>
      <c r="R39" s="38">
        <v>7604.8999999999978</v>
      </c>
    </row>
    <row r="40" spans="1:18" ht="15" thickBot="1" x14ac:dyDescent="0.4">
      <c r="A40" s="71" t="s">
        <v>34</v>
      </c>
      <c r="B40" s="78" t="s">
        <v>136</v>
      </c>
      <c r="C40" s="78"/>
      <c r="D40" s="78" t="s">
        <v>137</v>
      </c>
      <c r="E40" s="72">
        <f t="shared" si="1"/>
        <v>45</v>
      </c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9"/>
      <c r="Q40" s="17" t="s">
        <v>6</v>
      </c>
      <c r="R40" s="36">
        <v>6224.3</v>
      </c>
    </row>
    <row r="41" spans="1:18" x14ac:dyDescent="0.35">
      <c r="Q41" s="17" t="s">
        <v>13</v>
      </c>
      <c r="R41" s="36">
        <v>6116.9</v>
      </c>
    </row>
    <row r="42" spans="1:18" x14ac:dyDescent="0.35">
      <c r="Q42" s="17" t="s">
        <v>7</v>
      </c>
      <c r="R42" s="36">
        <v>6652.8999999999978</v>
      </c>
    </row>
    <row r="43" spans="1:18" x14ac:dyDescent="0.35">
      <c r="Q43" s="17" t="s">
        <v>14</v>
      </c>
      <c r="R43" s="36">
        <v>6832.4000000000005</v>
      </c>
    </row>
    <row r="44" spans="1:18" x14ac:dyDescent="0.35">
      <c r="Q44" s="17" t="s">
        <v>10</v>
      </c>
      <c r="R44" s="36">
        <v>6116.2999999999993</v>
      </c>
    </row>
    <row r="45" spans="1:18" x14ac:dyDescent="0.35">
      <c r="Q45" s="17" t="s">
        <v>12</v>
      </c>
      <c r="R45" s="36">
        <v>7277.5000000000009</v>
      </c>
    </row>
    <row r="46" spans="1:18" x14ac:dyDescent="0.35">
      <c r="Q46" s="17" t="s">
        <v>11</v>
      </c>
      <c r="R46" s="36">
        <v>4369.0999999999995</v>
      </c>
    </row>
    <row r="47" spans="1:18" x14ac:dyDescent="0.35">
      <c r="Q47" s="17" t="s">
        <v>9</v>
      </c>
      <c r="R47" s="36">
        <v>6328.699999999998</v>
      </c>
    </row>
    <row r="48" spans="1:18" x14ac:dyDescent="0.35">
      <c r="Q48" s="39" t="s">
        <v>53</v>
      </c>
      <c r="R48" s="40">
        <f>SUM(R35:R47)</f>
        <v>82337.899999999994</v>
      </c>
    </row>
  </sheetData>
  <autoFilter ref="A1:P22"/>
  <sortState ref="Q18:R30">
    <sortCondition descending="1" ref="R43:R55"/>
  </sortState>
  <conditionalFormatting pivot="1" sqref="R2:R1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4:R4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35:R4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8:R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T255"/>
  <sheetViews>
    <sheetView topLeftCell="K1" zoomScale="99" zoomScaleNormal="99" workbookViewId="0">
      <selection activeCell="L1" sqref="L1"/>
    </sheetView>
  </sheetViews>
  <sheetFormatPr defaultRowHeight="14.5" x14ac:dyDescent="0.35"/>
  <cols>
    <col min="1" max="1" width="16.36328125" style="7" customWidth="1"/>
    <col min="2" max="2" width="12.08984375" style="7" bestFit="1" customWidth="1"/>
    <col min="3" max="3" width="12.08984375" style="7" customWidth="1"/>
    <col min="4" max="4" width="12.453125" customWidth="1"/>
    <col min="5" max="5" width="11.36328125" style="7" customWidth="1"/>
    <col min="6" max="6" width="26.453125" style="7" customWidth="1"/>
    <col min="7" max="7" width="14.08984375" style="7" customWidth="1"/>
    <col min="8" max="8" width="12.7265625" style="7" customWidth="1"/>
    <col min="9" max="9" width="18.6328125" customWidth="1"/>
    <col min="10" max="10" width="33.26953125" customWidth="1"/>
    <col min="12" max="12" width="12.08984375" bestFit="1" customWidth="1"/>
    <col min="13" max="13" width="7.90625" bestFit="1" customWidth="1"/>
    <col min="14" max="14" width="19.90625" bestFit="1" customWidth="1"/>
    <col min="15" max="16" width="7.90625" bestFit="1" customWidth="1"/>
    <col min="17" max="17" width="7.90625" customWidth="1"/>
    <col min="18" max="18" width="12.08984375" bestFit="1" customWidth="1"/>
    <col min="19" max="19" width="11.54296875" bestFit="1" customWidth="1"/>
    <col min="20" max="20" width="6.90625" bestFit="1" customWidth="1"/>
    <col min="22" max="22" width="12.08984375" bestFit="1" customWidth="1"/>
    <col min="23" max="23" width="7.90625" bestFit="1" customWidth="1"/>
    <col min="24" max="24" width="19.90625" bestFit="1" customWidth="1"/>
    <col min="25" max="26" width="7.90625" bestFit="1" customWidth="1"/>
    <col min="27" max="27" width="12.08984375" bestFit="1" customWidth="1"/>
    <col min="28" max="28" width="11.54296875" bestFit="1" customWidth="1"/>
    <col min="29" max="29" width="6.90625" bestFit="1" customWidth="1"/>
  </cols>
  <sheetData>
    <row r="1" spans="1:20" x14ac:dyDescent="0.35">
      <c r="A1" s="7" t="s">
        <v>94</v>
      </c>
      <c r="B1" s="7" t="s">
        <v>94</v>
      </c>
      <c r="E1"/>
      <c r="L1" s="41" t="s">
        <v>105</v>
      </c>
    </row>
    <row r="2" spans="1:20" x14ac:dyDescent="0.35">
      <c r="A2" s="7" t="s">
        <v>103</v>
      </c>
      <c r="B2" s="7" t="s">
        <v>32</v>
      </c>
      <c r="L2" t="s">
        <v>106</v>
      </c>
    </row>
    <row r="3" spans="1:20" x14ac:dyDescent="0.35">
      <c r="A3" s="48">
        <v>43556</v>
      </c>
      <c r="B3" s="7" t="s">
        <v>89</v>
      </c>
      <c r="D3" s="14" t="s">
        <v>52</v>
      </c>
      <c r="E3" t="s">
        <v>71</v>
      </c>
      <c r="F3" t="s">
        <v>95</v>
      </c>
      <c r="G3" t="s">
        <v>96</v>
      </c>
      <c r="H3" t="s">
        <v>97</v>
      </c>
      <c r="I3" t="s">
        <v>98</v>
      </c>
      <c r="J3" t="s">
        <v>104</v>
      </c>
    </row>
    <row r="4" spans="1:20" x14ac:dyDescent="0.35">
      <c r="A4" s="48">
        <v>43586</v>
      </c>
      <c r="B4" s="7" t="s">
        <v>89</v>
      </c>
      <c r="D4" s="1" t="s">
        <v>91</v>
      </c>
      <c r="E4" s="19">
        <v>66027.299999999988</v>
      </c>
      <c r="F4" s="19">
        <v>13538.999999999998</v>
      </c>
      <c r="G4" s="19">
        <v>9645.3000000000011</v>
      </c>
      <c r="H4" s="19">
        <v>9811.3999999999978</v>
      </c>
      <c r="I4" s="19">
        <v>4781.5000000000009</v>
      </c>
      <c r="J4" s="19">
        <v>4214.7000000000007</v>
      </c>
      <c r="L4" s="16" t="s">
        <v>52</v>
      </c>
      <c r="M4" s="18" t="s">
        <v>49</v>
      </c>
      <c r="N4" s="18" t="s">
        <v>19</v>
      </c>
      <c r="O4" s="18" t="s">
        <v>20</v>
      </c>
      <c r="P4" s="18" t="s">
        <v>23</v>
      </c>
      <c r="Q4" s="18" t="s">
        <v>21</v>
      </c>
      <c r="R4" s="18" t="s">
        <v>24</v>
      </c>
      <c r="S4" s="18" t="s">
        <v>51</v>
      </c>
      <c r="T4" s="18" t="s">
        <v>93</v>
      </c>
    </row>
    <row r="5" spans="1:20" x14ac:dyDescent="0.35">
      <c r="A5" s="48">
        <v>43617</v>
      </c>
      <c r="B5" s="7" t="s">
        <v>89</v>
      </c>
      <c r="D5" s="1" t="s">
        <v>90</v>
      </c>
      <c r="E5" s="19">
        <v>77501.10000000002</v>
      </c>
      <c r="F5" s="19">
        <v>17426.299999999996</v>
      </c>
      <c r="G5" s="19">
        <v>11547.7</v>
      </c>
      <c r="H5" s="19">
        <v>11845.799999999997</v>
      </c>
      <c r="I5" s="19">
        <v>5837.8999999999987</v>
      </c>
      <c r="J5" s="19">
        <v>5539.1999999999989</v>
      </c>
      <c r="L5" s="52" t="s">
        <v>89</v>
      </c>
      <c r="M5" s="53">
        <v>61989.599999999991</v>
      </c>
      <c r="N5" s="53">
        <v>14429.400000000001</v>
      </c>
      <c r="O5" s="53">
        <v>9810.0000000000018</v>
      </c>
      <c r="P5" s="53">
        <v>9501.1999999999971</v>
      </c>
      <c r="Q5" s="53">
        <v>4651.8</v>
      </c>
      <c r="R5" s="53">
        <v>4214.7000000000007</v>
      </c>
      <c r="S5" s="53">
        <f>SUM(M5:R5)</f>
        <v>104596.7</v>
      </c>
      <c r="T5" s="54">
        <f>S5/$S$8</f>
        <v>0.30556302932942575</v>
      </c>
    </row>
    <row r="6" spans="1:20" x14ac:dyDescent="0.35">
      <c r="A6" s="48">
        <v>43647</v>
      </c>
      <c r="B6" s="7" t="s">
        <v>89</v>
      </c>
      <c r="D6" s="1" t="s">
        <v>89</v>
      </c>
      <c r="E6" s="19">
        <v>61989.599999999991</v>
      </c>
      <c r="F6" s="19">
        <v>14429.400000000001</v>
      </c>
      <c r="G6" s="19">
        <v>9810.0000000000018</v>
      </c>
      <c r="H6" s="19">
        <v>9501.1999999999971</v>
      </c>
      <c r="I6" s="19">
        <v>4651.8</v>
      </c>
      <c r="J6" s="19">
        <v>4208.8999999999987</v>
      </c>
      <c r="L6" s="52" t="s">
        <v>91</v>
      </c>
      <c r="M6" s="53">
        <v>66027.299999999988</v>
      </c>
      <c r="N6" s="53">
        <v>13538.999999999998</v>
      </c>
      <c r="O6" s="53">
        <v>9645.3000000000011</v>
      </c>
      <c r="P6" s="53">
        <v>9811.3999999999978</v>
      </c>
      <c r="Q6" s="53">
        <v>4781.5000000000009</v>
      </c>
      <c r="R6" s="53">
        <v>5539.1999999999989</v>
      </c>
      <c r="S6" s="53">
        <f>SUM(M6:R6)</f>
        <v>109343.69999999998</v>
      </c>
      <c r="T6" s="54">
        <f>S6/$S$8</f>
        <v>0.31943065326236797</v>
      </c>
    </row>
    <row r="7" spans="1:20" x14ac:dyDescent="0.35">
      <c r="A7" s="48">
        <v>43678</v>
      </c>
      <c r="B7" s="7" t="s">
        <v>89</v>
      </c>
      <c r="D7" s="1" t="s">
        <v>53</v>
      </c>
      <c r="E7" s="19">
        <v>205518</v>
      </c>
      <c r="F7" s="19">
        <v>45394.7</v>
      </c>
      <c r="G7" s="19">
        <v>31003</v>
      </c>
      <c r="H7" s="19">
        <v>31158.399999999994</v>
      </c>
      <c r="I7" s="19">
        <v>15271.2</v>
      </c>
      <c r="J7" s="19">
        <v>13962.8</v>
      </c>
      <c r="L7" s="52" t="s">
        <v>90</v>
      </c>
      <c r="M7" s="53">
        <v>77501.10000000002</v>
      </c>
      <c r="N7" s="53">
        <v>17426.299999999996</v>
      </c>
      <c r="O7" s="53">
        <v>11547.7</v>
      </c>
      <c r="P7" s="53">
        <v>11845.799999999997</v>
      </c>
      <c r="Q7" s="53">
        <v>5837.8999999999987</v>
      </c>
      <c r="R7" s="53">
        <v>4208.8999999999987</v>
      </c>
      <c r="S7" s="53">
        <f>SUM(M7:R7)</f>
        <v>128367.70000000001</v>
      </c>
      <c r="T7" s="54">
        <f>S7/$S$8</f>
        <v>0.37500631740820628</v>
      </c>
    </row>
    <row r="8" spans="1:20" x14ac:dyDescent="0.35">
      <c r="A8" s="48">
        <v>43709</v>
      </c>
      <c r="B8" s="7" t="s">
        <v>89</v>
      </c>
      <c r="E8"/>
      <c r="F8"/>
      <c r="G8"/>
      <c r="H8"/>
      <c r="L8" s="15" t="s">
        <v>53</v>
      </c>
      <c r="M8" s="20">
        <f>SUM(M5:M7)</f>
        <v>205518</v>
      </c>
      <c r="N8" s="20">
        <f t="shared" ref="N8:R8" si="0">SUM(N5:N7)</f>
        <v>45394.7</v>
      </c>
      <c r="O8" s="20">
        <f t="shared" si="0"/>
        <v>31003.000000000004</v>
      </c>
      <c r="P8" s="20">
        <f t="shared" si="0"/>
        <v>31158.399999999994</v>
      </c>
      <c r="Q8" s="20">
        <v>13962.8</v>
      </c>
      <c r="R8" s="20">
        <f t="shared" si="0"/>
        <v>13962.8</v>
      </c>
      <c r="S8" s="20">
        <f>SUM(S5:S7)</f>
        <v>342308.1</v>
      </c>
      <c r="T8" s="20"/>
    </row>
    <row r="9" spans="1:20" x14ac:dyDescent="0.35">
      <c r="A9" s="48">
        <v>43739</v>
      </c>
      <c r="B9" s="7" t="s">
        <v>89</v>
      </c>
      <c r="E9"/>
      <c r="F9"/>
      <c r="G9"/>
      <c r="H9"/>
      <c r="J9" s="19"/>
    </row>
    <row r="10" spans="1:20" x14ac:dyDescent="0.35">
      <c r="A10" s="48">
        <v>43770</v>
      </c>
      <c r="B10" s="7" t="s">
        <v>89</v>
      </c>
      <c r="E10"/>
      <c r="F10"/>
      <c r="G10"/>
      <c r="H10"/>
      <c r="J10" s="19"/>
      <c r="L10" s="55" t="s">
        <v>99</v>
      </c>
      <c r="S10" s="55" t="s">
        <v>100</v>
      </c>
    </row>
    <row r="11" spans="1:20" x14ac:dyDescent="0.35">
      <c r="A11" s="48">
        <v>43800</v>
      </c>
      <c r="B11" s="7" t="s">
        <v>89</v>
      </c>
      <c r="E11"/>
      <c r="F11"/>
      <c r="G11"/>
      <c r="H11" s="18" t="s">
        <v>21</v>
      </c>
      <c r="I11" s="18" t="s">
        <v>24</v>
      </c>
    </row>
    <row r="12" spans="1:20" x14ac:dyDescent="0.35">
      <c r="A12" s="48">
        <v>43831</v>
      </c>
      <c r="B12" s="7" t="s">
        <v>89</v>
      </c>
      <c r="E12"/>
      <c r="F12"/>
      <c r="G12"/>
      <c r="H12" s="53">
        <v>4651.8</v>
      </c>
      <c r="I12" s="53">
        <v>4214.7000000000007</v>
      </c>
    </row>
    <row r="13" spans="1:20" x14ac:dyDescent="0.35">
      <c r="A13" s="48">
        <v>43862</v>
      </c>
      <c r="B13" s="7" t="s">
        <v>89</v>
      </c>
      <c r="E13"/>
      <c r="F13"/>
      <c r="G13"/>
      <c r="H13" s="53">
        <v>4781.5000000000009</v>
      </c>
      <c r="I13" s="53">
        <v>5539.1999999999989</v>
      </c>
    </row>
    <row r="14" spans="1:20" x14ac:dyDescent="0.35">
      <c r="A14" s="49">
        <v>43891</v>
      </c>
      <c r="B14" s="7" t="s">
        <v>89</v>
      </c>
      <c r="E14"/>
      <c r="F14"/>
      <c r="G14"/>
      <c r="H14" s="53">
        <v>5837.8999999999987</v>
      </c>
      <c r="I14" s="53">
        <v>4208.8999999999987</v>
      </c>
    </row>
    <row r="15" spans="1:20" x14ac:dyDescent="0.35">
      <c r="A15" s="50">
        <v>43922</v>
      </c>
      <c r="B15" s="7" t="s">
        <v>91</v>
      </c>
      <c r="E15"/>
      <c r="F15"/>
      <c r="G15"/>
      <c r="H15"/>
      <c r="J15" s="19"/>
    </row>
    <row r="16" spans="1:20" x14ac:dyDescent="0.35">
      <c r="A16" s="50">
        <v>43952</v>
      </c>
      <c r="B16" s="7" t="s">
        <v>91</v>
      </c>
      <c r="E16"/>
      <c r="F16"/>
      <c r="G16"/>
      <c r="H16"/>
      <c r="J16" s="19"/>
    </row>
    <row r="17" spans="1:10" x14ac:dyDescent="0.35">
      <c r="A17" s="50">
        <v>43983</v>
      </c>
      <c r="B17" s="7" t="s">
        <v>91</v>
      </c>
      <c r="E17"/>
      <c r="F17"/>
      <c r="G17"/>
      <c r="H17"/>
      <c r="J17" s="19"/>
    </row>
    <row r="18" spans="1:10" x14ac:dyDescent="0.35">
      <c r="A18" s="50">
        <v>44013</v>
      </c>
      <c r="B18" s="7" t="s">
        <v>91</v>
      </c>
      <c r="D18" s="16" t="s">
        <v>52</v>
      </c>
      <c r="E18" s="16" t="s">
        <v>71</v>
      </c>
      <c r="F18" s="16" t="s">
        <v>95</v>
      </c>
      <c r="G18" s="16" t="s">
        <v>96</v>
      </c>
      <c r="H18" s="16" t="s">
        <v>97</v>
      </c>
      <c r="I18" s="16" t="s">
        <v>98</v>
      </c>
      <c r="J18" s="16" t="s">
        <v>104</v>
      </c>
    </row>
    <row r="19" spans="1:10" x14ac:dyDescent="0.35">
      <c r="A19" s="50">
        <v>44044</v>
      </c>
      <c r="B19" s="7" t="s">
        <v>91</v>
      </c>
      <c r="D19" s="1" t="s">
        <v>91</v>
      </c>
      <c r="E19" s="19">
        <v>66027.299999999988</v>
      </c>
      <c r="F19" s="19">
        <v>13538.999999999998</v>
      </c>
      <c r="G19" s="19">
        <v>9645.3000000000011</v>
      </c>
      <c r="H19" s="19">
        <v>9811.3999999999978</v>
      </c>
      <c r="I19" s="19">
        <v>4781.5000000000009</v>
      </c>
      <c r="J19" s="19">
        <v>4214.7000000000007</v>
      </c>
    </row>
    <row r="20" spans="1:10" x14ac:dyDescent="0.35">
      <c r="A20" s="50">
        <v>44075</v>
      </c>
      <c r="B20" s="7" t="s">
        <v>91</v>
      </c>
      <c r="D20" s="1" t="s">
        <v>90</v>
      </c>
      <c r="E20" s="19">
        <v>77501.10000000002</v>
      </c>
      <c r="F20" s="19">
        <v>17426.299999999996</v>
      </c>
      <c r="G20" s="19">
        <v>11547.7</v>
      </c>
      <c r="H20" s="19">
        <v>11845.799999999997</v>
      </c>
      <c r="I20" s="19">
        <v>5837.8999999999987</v>
      </c>
      <c r="J20" s="19">
        <v>5539.1999999999989</v>
      </c>
    </row>
    <row r="21" spans="1:10" x14ac:dyDescent="0.35">
      <c r="A21" s="50">
        <v>44105</v>
      </c>
      <c r="B21" s="7" t="s">
        <v>91</v>
      </c>
      <c r="D21" s="1" t="s">
        <v>89</v>
      </c>
      <c r="E21" s="19">
        <v>61989.599999999991</v>
      </c>
      <c r="F21" s="19">
        <v>14429.400000000001</v>
      </c>
      <c r="G21" s="19">
        <v>9810.0000000000018</v>
      </c>
      <c r="H21" s="19">
        <v>9501.1999999999971</v>
      </c>
      <c r="I21" s="19">
        <v>4651.8</v>
      </c>
      <c r="J21" s="19">
        <v>4208.8999999999987</v>
      </c>
    </row>
    <row r="22" spans="1:10" x14ac:dyDescent="0.35">
      <c r="A22" s="50">
        <v>44136</v>
      </c>
      <c r="B22" s="7" t="s">
        <v>91</v>
      </c>
      <c r="E22"/>
      <c r="F22"/>
      <c r="G22"/>
      <c r="H22"/>
      <c r="J22" s="19"/>
    </row>
    <row r="23" spans="1:10" x14ac:dyDescent="0.35">
      <c r="A23" s="50">
        <v>44166</v>
      </c>
      <c r="B23" s="7" t="s">
        <v>91</v>
      </c>
      <c r="E23"/>
      <c r="F23"/>
      <c r="G23"/>
      <c r="H23"/>
      <c r="J23" s="19"/>
    </row>
    <row r="24" spans="1:10" x14ac:dyDescent="0.35">
      <c r="A24" s="50">
        <v>44197</v>
      </c>
      <c r="B24" s="7" t="s">
        <v>91</v>
      </c>
      <c r="E24"/>
      <c r="F24"/>
      <c r="G24"/>
      <c r="H24"/>
      <c r="J24" s="19"/>
    </row>
    <row r="25" spans="1:10" x14ac:dyDescent="0.35">
      <c r="A25" s="50">
        <v>44228</v>
      </c>
      <c r="B25" s="7" t="s">
        <v>91</v>
      </c>
      <c r="E25" t="s">
        <v>150</v>
      </c>
      <c r="F25" t="s">
        <v>151</v>
      </c>
      <c r="G25" t="s">
        <v>152</v>
      </c>
      <c r="H25"/>
      <c r="J25" s="19"/>
    </row>
    <row r="26" spans="1:10" x14ac:dyDescent="0.35">
      <c r="A26" s="50">
        <v>44256</v>
      </c>
      <c r="B26" s="7" t="s">
        <v>91</v>
      </c>
      <c r="E26"/>
      <c r="F26"/>
      <c r="G26" t="s">
        <v>153</v>
      </c>
      <c r="H26"/>
      <c r="J26" s="19"/>
    </row>
    <row r="27" spans="1:10" x14ac:dyDescent="0.35">
      <c r="A27" s="51">
        <v>44287</v>
      </c>
      <c r="B27" s="7" t="s">
        <v>92</v>
      </c>
      <c r="E27"/>
      <c r="F27"/>
      <c r="G27"/>
      <c r="H27"/>
      <c r="J27" s="19"/>
    </row>
    <row r="28" spans="1:10" x14ac:dyDescent="0.35">
      <c r="A28" s="51">
        <v>44317</v>
      </c>
      <c r="B28" s="7" t="s">
        <v>92</v>
      </c>
      <c r="E28"/>
      <c r="F28"/>
      <c r="G28"/>
      <c r="H28"/>
      <c r="J28" s="19"/>
    </row>
    <row r="29" spans="1:10" x14ac:dyDescent="0.35">
      <c r="A29" s="51">
        <v>44348</v>
      </c>
      <c r="B29" s="7" t="s">
        <v>92</v>
      </c>
      <c r="E29"/>
      <c r="F29"/>
      <c r="G29"/>
      <c r="H29"/>
      <c r="J29" s="19"/>
    </row>
    <row r="30" spans="1:10" x14ac:dyDescent="0.35">
      <c r="A30" s="51">
        <v>44378</v>
      </c>
      <c r="B30" s="7" t="s">
        <v>92</v>
      </c>
      <c r="E30"/>
      <c r="F30"/>
      <c r="G30"/>
      <c r="H30"/>
      <c r="J30" s="19"/>
    </row>
    <row r="31" spans="1:10" x14ac:dyDescent="0.35">
      <c r="A31" s="51">
        <v>44409</v>
      </c>
      <c r="B31" s="7" t="s">
        <v>92</v>
      </c>
      <c r="E31"/>
      <c r="F31"/>
      <c r="G31"/>
      <c r="H31"/>
      <c r="J31" s="19"/>
    </row>
    <row r="32" spans="1:10" x14ac:dyDescent="0.35">
      <c r="A32" s="51">
        <v>44440</v>
      </c>
      <c r="B32" s="7" t="s">
        <v>92</v>
      </c>
      <c r="E32"/>
      <c r="F32"/>
      <c r="G32"/>
      <c r="H32"/>
      <c r="J32" s="19"/>
    </row>
    <row r="33" spans="1:10" x14ac:dyDescent="0.35">
      <c r="A33" s="51">
        <v>44470</v>
      </c>
      <c r="B33" s="7" t="s">
        <v>92</v>
      </c>
      <c r="E33"/>
      <c r="F33"/>
      <c r="G33"/>
      <c r="H33"/>
      <c r="J33" s="19"/>
    </row>
    <row r="34" spans="1:10" x14ac:dyDescent="0.35">
      <c r="A34" s="51">
        <v>44501</v>
      </c>
      <c r="B34" s="7" t="s">
        <v>92</v>
      </c>
      <c r="E34"/>
      <c r="F34"/>
      <c r="G34"/>
      <c r="H34"/>
      <c r="J34" s="19"/>
    </row>
    <row r="35" spans="1:10" x14ac:dyDescent="0.35">
      <c r="A35" s="51">
        <v>44531</v>
      </c>
      <c r="B35" s="7" t="s">
        <v>92</v>
      </c>
      <c r="E35"/>
      <c r="F35"/>
      <c r="G35"/>
      <c r="H35"/>
      <c r="J35" s="19"/>
    </row>
    <row r="36" spans="1:10" x14ac:dyDescent="0.35">
      <c r="A36" s="51">
        <v>44562</v>
      </c>
      <c r="B36" s="7" t="s">
        <v>92</v>
      </c>
      <c r="E36"/>
      <c r="F36"/>
      <c r="G36"/>
      <c r="H36"/>
      <c r="J36" s="19"/>
    </row>
    <row r="37" spans="1:10" x14ac:dyDescent="0.35">
      <c r="A37" s="51">
        <v>44593</v>
      </c>
      <c r="B37" s="7" t="s">
        <v>92</v>
      </c>
      <c r="E37"/>
      <c r="F37"/>
      <c r="G37"/>
      <c r="H37"/>
      <c r="J37" s="19"/>
    </row>
    <row r="38" spans="1:10" x14ac:dyDescent="0.35">
      <c r="A38" s="51">
        <v>44621</v>
      </c>
      <c r="B38" s="7" t="s">
        <v>92</v>
      </c>
      <c r="E38"/>
      <c r="F38"/>
      <c r="G38"/>
      <c r="H38"/>
      <c r="J38" s="19"/>
    </row>
    <row r="39" spans="1:10" x14ac:dyDescent="0.35">
      <c r="A39" s="7" t="s">
        <v>102</v>
      </c>
      <c r="B39" s="7" t="s">
        <v>32</v>
      </c>
      <c r="E39"/>
      <c r="F39"/>
      <c r="G39"/>
      <c r="H39"/>
      <c r="J39" s="19"/>
    </row>
    <row r="40" spans="1:10" x14ac:dyDescent="0.35">
      <c r="E40"/>
      <c r="F40"/>
      <c r="G40"/>
      <c r="H40"/>
      <c r="J40" s="19"/>
    </row>
    <row r="41" spans="1:10" x14ac:dyDescent="0.35">
      <c r="E41"/>
      <c r="F41"/>
      <c r="G41"/>
      <c r="H41"/>
      <c r="J41" s="19"/>
    </row>
    <row r="42" spans="1:10" x14ac:dyDescent="0.35">
      <c r="E42"/>
      <c r="F42"/>
      <c r="G42"/>
      <c r="H42"/>
      <c r="J42" s="19"/>
    </row>
    <row r="43" spans="1:10" x14ac:dyDescent="0.35">
      <c r="E43"/>
      <c r="F43"/>
      <c r="G43"/>
      <c r="H43"/>
      <c r="J43" s="19"/>
    </row>
    <row r="44" spans="1:10" x14ac:dyDescent="0.35">
      <c r="E44"/>
      <c r="F44"/>
      <c r="G44"/>
      <c r="H44"/>
      <c r="J44" s="19"/>
    </row>
    <row r="45" spans="1:10" x14ac:dyDescent="0.35">
      <c r="E45"/>
      <c r="F45"/>
      <c r="G45"/>
      <c r="H45"/>
      <c r="J45" s="19"/>
    </row>
    <row r="46" spans="1:10" x14ac:dyDescent="0.35">
      <c r="E46"/>
      <c r="F46"/>
      <c r="G46"/>
      <c r="H46"/>
      <c r="J46" s="19"/>
    </row>
    <row r="47" spans="1:10" x14ac:dyDescent="0.35">
      <c r="E47"/>
      <c r="F47"/>
      <c r="G47"/>
      <c r="H47"/>
      <c r="J47" s="19"/>
    </row>
    <row r="48" spans="1:10" x14ac:dyDescent="0.35">
      <c r="E48"/>
      <c r="F48"/>
      <c r="G48"/>
      <c r="H48"/>
      <c r="J48" s="19"/>
    </row>
    <row r="49" spans="5:10" x14ac:dyDescent="0.35">
      <c r="E49"/>
      <c r="F49"/>
      <c r="G49"/>
      <c r="H49"/>
      <c r="J49" s="19"/>
    </row>
    <row r="50" spans="5:10" x14ac:dyDescent="0.35">
      <c r="E50"/>
      <c r="F50"/>
      <c r="G50"/>
      <c r="H50"/>
      <c r="J50" s="19"/>
    </row>
    <row r="51" spans="5:10" x14ac:dyDescent="0.35">
      <c r="E51"/>
      <c r="F51"/>
      <c r="G51"/>
      <c r="H51"/>
      <c r="J51" s="19"/>
    </row>
    <row r="52" spans="5:10" x14ac:dyDescent="0.35">
      <c r="E52"/>
      <c r="F52"/>
      <c r="G52"/>
      <c r="H52"/>
      <c r="J52" s="19"/>
    </row>
    <row r="53" spans="5:10" x14ac:dyDescent="0.35">
      <c r="E53"/>
      <c r="F53"/>
      <c r="G53"/>
      <c r="H53"/>
      <c r="J53" s="19"/>
    </row>
    <row r="54" spans="5:10" x14ac:dyDescent="0.35">
      <c r="E54"/>
      <c r="F54"/>
      <c r="G54"/>
      <c r="H54"/>
      <c r="J54" s="19"/>
    </row>
    <row r="55" spans="5:10" x14ac:dyDescent="0.35">
      <c r="E55"/>
      <c r="F55"/>
      <c r="G55"/>
      <c r="H55"/>
      <c r="J55" s="19"/>
    </row>
    <row r="56" spans="5:10" x14ac:dyDescent="0.35">
      <c r="E56"/>
      <c r="F56"/>
      <c r="G56"/>
      <c r="H56"/>
      <c r="J56" s="19"/>
    </row>
    <row r="57" spans="5:10" x14ac:dyDescent="0.35">
      <c r="E57"/>
      <c r="F57"/>
      <c r="G57"/>
      <c r="H57"/>
      <c r="J57" s="19"/>
    </row>
    <row r="58" spans="5:10" x14ac:dyDescent="0.35">
      <c r="E58"/>
      <c r="F58"/>
      <c r="G58"/>
      <c r="H58"/>
      <c r="J58" s="19"/>
    </row>
    <row r="59" spans="5:10" x14ac:dyDescent="0.35">
      <c r="E59"/>
      <c r="F59"/>
      <c r="G59"/>
      <c r="H59"/>
      <c r="J59" s="19"/>
    </row>
    <row r="60" spans="5:10" x14ac:dyDescent="0.35">
      <c r="E60"/>
      <c r="F60"/>
      <c r="G60"/>
      <c r="H60"/>
      <c r="J60" s="19"/>
    </row>
    <row r="61" spans="5:10" x14ac:dyDescent="0.35">
      <c r="E61"/>
      <c r="F61"/>
      <c r="G61"/>
      <c r="H61"/>
      <c r="J61" s="19"/>
    </row>
    <row r="62" spans="5:10" x14ac:dyDescent="0.35">
      <c r="E62"/>
      <c r="F62"/>
      <c r="G62"/>
      <c r="H62"/>
      <c r="J62" s="19"/>
    </row>
    <row r="63" spans="5:10" x14ac:dyDescent="0.35">
      <c r="E63"/>
      <c r="F63"/>
      <c r="G63"/>
      <c r="H63"/>
      <c r="J63" s="19"/>
    </row>
    <row r="64" spans="5:10" x14ac:dyDescent="0.35">
      <c r="E64"/>
      <c r="F64"/>
      <c r="G64"/>
      <c r="H64"/>
      <c r="J64" s="19"/>
    </row>
    <row r="65" spans="5:10" x14ac:dyDescent="0.35">
      <c r="E65"/>
      <c r="F65"/>
      <c r="G65"/>
      <c r="H65"/>
      <c r="J65" s="19"/>
    </row>
    <row r="66" spans="5:10" x14ac:dyDescent="0.35">
      <c r="E66"/>
      <c r="F66"/>
      <c r="G66"/>
      <c r="H66"/>
      <c r="J66" s="19"/>
    </row>
    <row r="67" spans="5:10" x14ac:dyDescent="0.35">
      <c r="E67"/>
      <c r="F67"/>
      <c r="G67"/>
      <c r="H67"/>
      <c r="J67" s="19"/>
    </row>
    <row r="68" spans="5:10" x14ac:dyDescent="0.35">
      <c r="E68"/>
      <c r="F68"/>
      <c r="G68"/>
      <c r="H68"/>
      <c r="J68" s="19"/>
    </row>
    <row r="69" spans="5:10" x14ac:dyDescent="0.35">
      <c r="E69"/>
      <c r="F69"/>
      <c r="G69"/>
      <c r="H69"/>
      <c r="J69" s="19"/>
    </row>
    <row r="70" spans="5:10" x14ac:dyDescent="0.35">
      <c r="E70"/>
      <c r="F70"/>
      <c r="G70"/>
      <c r="H70"/>
      <c r="J70" s="19"/>
    </row>
    <row r="71" spans="5:10" x14ac:dyDescent="0.35">
      <c r="E71"/>
      <c r="F71"/>
      <c r="G71"/>
      <c r="H71"/>
      <c r="J71" s="19"/>
    </row>
    <row r="72" spans="5:10" x14ac:dyDescent="0.35">
      <c r="E72"/>
      <c r="F72"/>
      <c r="G72"/>
      <c r="H72"/>
      <c r="J72" s="19"/>
    </row>
    <row r="73" spans="5:10" x14ac:dyDescent="0.35">
      <c r="E73"/>
      <c r="F73"/>
      <c r="G73"/>
      <c r="H73"/>
      <c r="J73" s="19"/>
    </row>
    <row r="74" spans="5:10" x14ac:dyDescent="0.35">
      <c r="E74"/>
      <c r="F74"/>
      <c r="G74"/>
      <c r="H74"/>
      <c r="J74" s="19"/>
    </row>
    <row r="75" spans="5:10" x14ac:dyDescent="0.35">
      <c r="E75"/>
      <c r="F75"/>
      <c r="G75"/>
      <c r="H75"/>
      <c r="J75" s="19"/>
    </row>
    <row r="76" spans="5:10" x14ac:dyDescent="0.35">
      <c r="E76"/>
      <c r="F76"/>
      <c r="G76"/>
      <c r="H76"/>
      <c r="J76" s="19"/>
    </row>
    <row r="77" spans="5:10" x14ac:dyDescent="0.35">
      <c r="E77"/>
      <c r="F77"/>
      <c r="G77"/>
      <c r="H77"/>
      <c r="J77" s="19"/>
    </row>
    <row r="78" spans="5:10" x14ac:dyDescent="0.35">
      <c r="E78"/>
      <c r="F78"/>
      <c r="G78"/>
      <c r="H78"/>
      <c r="J78" s="19"/>
    </row>
    <row r="79" spans="5:10" x14ac:dyDescent="0.35">
      <c r="E79"/>
      <c r="F79"/>
      <c r="G79"/>
      <c r="H79"/>
      <c r="J79" s="19"/>
    </row>
    <row r="80" spans="5:10" x14ac:dyDescent="0.35">
      <c r="E80"/>
      <c r="F80"/>
      <c r="G80"/>
      <c r="H80"/>
      <c r="J80" s="19"/>
    </row>
    <row r="81" spans="5:10" x14ac:dyDescent="0.35">
      <c r="E81"/>
      <c r="F81"/>
      <c r="G81"/>
      <c r="H81"/>
      <c r="J81" s="19"/>
    </row>
    <row r="82" spans="5:10" x14ac:dyDescent="0.35">
      <c r="E82"/>
      <c r="F82"/>
      <c r="G82"/>
      <c r="H82"/>
      <c r="J82" s="19"/>
    </row>
    <row r="83" spans="5:10" x14ac:dyDescent="0.35">
      <c r="E83"/>
      <c r="F83"/>
      <c r="G83"/>
      <c r="H83"/>
      <c r="J83" s="19"/>
    </row>
    <row r="84" spans="5:10" x14ac:dyDescent="0.35">
      <c r="E84"/>
      <c r="F84"/>
      <c r="G84"/>
      <c r="H84"/>
      <c r="J84" s="19"/>
    </row>
    <row r="85" spans="5:10" x14ac:dyDescent="0.35">
      <c r="E85"/>
      <c r="F85"/>
      <c r="G85"/>
      <c r="H85"/>
      <c r="J85" s="19"/>
    </row>
    <row r="86" spans="5:10" x14ac:dyDescent="0.35">
      <c r="E86"/>
      <c r="F86"/>
      <c r="G86"/>
      <c r="H86"/>
      <c r="J86" s="19"/>
    </row>
    <row r="87" spans="5:10" x14ac:dyDescent="0.35">
      <c r="E87"/>
      <c r="F87"/>
      <c r="G87"/>
      <c r="H87"/>
      <c r="J87" s="19"/>
    </row>
    <row r="88" spans="5:10" x14ac:dyDescent="0.35">
      <c r="E88"/>
      <c r="F88"/>
      <c r="G88"/>
      <c r="H88"/>
      <c r="J88" s="19"/>
    </row>
    <row r="89" spans="5:10" x14ac:dyDescent="0.35">
      <c r="E89"/>
      <c r="F89"/>
      <c r="G89"/>
      <c r="H89"/>
      <c r="J89" s="19"/>
    </row>
    <row r="90" spans="5:10" x14ac:dyDescent="0.35">
      <c r="E90"/>
      <c r="F90"/>
      <c r="G90"/>
      <c r="H90"/>
      <c r="J90" s="19"/>
    </row>
    <row r="91" spans="5:10" x14ac:dyDescent="0.35">
      <c r="E91"/>
      <c r="F91"/>
      <c r="G91"/>
      <c r="H91"/>
      <c r="J91" s="19"/>
    </row>
    <row r="92" spans="5:10" x14ac:dyDescent="0.35">
      <c r="E92"/>
      <c r="F92"/>
      <c r="G92"/>
      <c r="H92"/>
      <c r="J92" s="19"/>
    </row>
    <row r="93" spans="5:10" x14ac:dyDescent="0.35">
      <c r="E93"/>
      <c r="F93"/>
      <c r="G93"/>
      <c r="H93"/>
      <c r="J93" s="19"/>
    </row>
    <row r="94" spans="5:10" x14ac:dyDescent="0.35">
      <c r="E94"/>
      <c r="F94"/>
      <c r="G94"/>
      <c r="H94"/>
      <c r="J94" s="19"/>
    </row>
    <row r="95" spans="5:10" x14ac:dyDescent="0.35">
      <c r="E95"/>
      <c r="F95"/>
      <c r="G95"/>
      <c r="H95"/>
      <c r="J95" s="19"/>
    </row>
    <row r="96" spans="5:10" x14ac:dyDescent="0.35">
      <c r="E96"/>
      <c r="F96"/>
      <c r="G96"/>
      <c r="H96"/>
      <c r="J96" s="19"/>
    </row>
    <row r="97" spans="5:10" x14ac:dyDescent="0.35">
      <c r="E97"/>
      <c r="F97"/>
      <c r="G97"/>
      <c r="H97"/>
      <c r="J97" s="19"/>
    </row>
    <row r="98" spans="5:10" x14ac:dyDescent="0.35">
      <c r="E98"/>
      <c r="F98"/>
      <c r="G98"/>
      <c r="H98"/>
      <c r="J98" s="19"/>
    </row>
    <row r="99" spans="5:10" x14ac:dyDescent="0.35">
      <c r="E99"/>
      <c r="F99"/>
      <c r="G99"/>
      <c r="H99"/>
      <c r="J99" s="19"/>
    </row>
    <row r="100" spans="5:10" x14ac:dyDescent="0.35">
      <c r="E100"/>
      <c r="F100"/>
      <c r="G100"/>
      <c r="H100"/>
      <c r="J100" s="19"/>
    </row>
    <row r="101" spans="5:10" x14ac:dyDescent="0.35">
      <c r="E101"/>
      <c r="F101"/>
      <c r="G101"/>
      <c r="H101"/>
      <c r="J101" s="19"/>
    </row>
    <row r="102" spans="5:10" x14ac:dyDescent="0.35">
      <c r="E102"/>
      <c r="F102"/>
      <c r="G102"/>
      <c r="H102"/>
      <c r="J102" s="19"/>
    </row>
    <row r="103" spans="5:10" x14ac:dyDescent="0.35">
      <c r="E103"/>
      <c r="F103"/>
      <c r="G103"/>
      <c r="H103"/>
      <c r="J103" s="19"/>
    </row>
    <row r="104" spans="5:10" x14ac:dyDescent="0.35">
      <c r="E104"/>
      <c r="F104"/>
      <c r="G104"/>
      <c r="H104"/>
      <c r="J104" s="19"/>
    </row>
    <row r="105" spans="5:10" x14ac:dyDescent="0.35">
      <c r="E105"/>
      <c r="F105"/>
      <c r="G105"/>
      <c r="H105"/>
      <c r="J105" s="19"/>
    </row>
    <row r="106" spans="5:10" x14ac:dyDescent="0.35">
      <c r="E106"/>
      <c r="F106"/>
      <c r="G106"/>
      <c r="H106"/>
      <c r="J106" s="19"/>
    </row>
    <row r="107" spans="5:10" x14ac:dyDescent="0.35">
      <c r="E107"/>
      <c r="F107"/>
      <c r="G107"/>
      <c r="H107"/>
      <c r="J107" s="19"/>
    </row>
    <row r="108" spans="5:10" x14ac:dyDescent="0.35">
      <c r="E108"/>
      <c r="F108"/>
      <c r="G108"/>
      <c r="H108"/>
      <c r="J108" s="19"/>
    </row>
    <row r="109" spans="5:10" x14ac:dyDescent="0.35">
      <c r="E109"/>
      <c r="F109"/>
      <c r="G109"/>
      <c r="H109"/>
      <c r="J109" s="19"/>
    </row>
    <row r="110" spans="5:10" x14ac:dyDescent="0.35">
      <c r="E110"/>
      <c r="F110"/>
      <c r="G110"/>
      <c r="H110"/>
      <c r="J110" s="19"/>
    </row>
    <row r="111" spans="5:10" x14ac:dyDescent="0.35">
      <c r="E111"/>
      <c r="F111"/>
      <c r="G111"/>
      <c r="H111"/>
      <c r="J111" s="19"/>
    </row>
    <row r="112" spans="5:10" x14ac:dyDescent="0.35">
      <c r="E112"/>
      <c r="F112"/>
      <c r="G112"/>
      <c r="H112"/>
      <c r="J112" s="19"/>
    </row>
    <row r="113" spans="5:10" x14ac:dyDescent="0.35">
      <c r="E113"/>
      <c r="F113"/>
      <c r="G113"/>
      <c r="H113"/>
      <c r="J113" s="19"/>
    </row>
    <row r="114" spans="5:10" x14ac:dyDescent="0.35">
      <c r="E114"/>
      <c r="F114"/>
      <c r="G114"/>
      <c r="H114"/>
      <c r="J114" s="19"/>
    </row>
    <row r="115" spans="5:10" x14ac:dyDescent="0.35">
      <c r="E115"/>
      <c r="F115"/>
      <c r="G115"/>
      <c r="H115"/>
      <c r="J115" s="19"/>
    </row>
    <row r="116" spans="5:10" x14ac:dyDescent="0.35">
      <c r="E116"/>
      <c r="F116"/>
      <c r="G116"/>
      <c r="H116"/>
      <c r="J116" s="19"/>
    </row>
    <row r="117" spans="5:10" x14ac:dyDescent="0.35">
      <c r="E117"/>
      <c r="F117"/>
      <c r="G117"/>
      <c r="H117"/>
      <c r="J117" s="19"/>
    </row>
    <row r="118" spans="5:10" x14ac:dyDescent="0.35">
      <c r="E118"/>
      <c r="F118"/>
      <c r="G118"/>
      <c r="H118"/>
      <c r="J118" s="19"/>
    </row>
    <row r="119" spans="5:10" x14ac:dyDescent="0.35">
      <c r="E119"/>
      <c r="F119"/>
      <c r="G119"/>
      <c r="H119"/>
      <c r="J119" s="19"/>
    </row>
    <row r="120" spans="5:10" x14ac:dyDescent="0.35">
      <c r="E120"/>
      <c r="F120"/>
      <c r="G120"/>
      <c r="H120"/>
      <c r="J120" s="19"/>
    </row>
    <row r="121" spans="5:10" x14ac:dyDescent="0.35">
      <c r="E121"/>
      <c r="F121"/>
      <c r="G121"/>
      <c r="H121"/>
      <c r="J121" s="19"/>
    </row>
    <row r="122" spans="5:10" x14ac:dyDescent="0.35">
      <c r="E122"/>
      <c r="F122"/>
      <c r="G122"/>
      <c r="H122"/>
      <c r="J122" s="19"/>
    </row>
    <row r="123" spans="5:10" x14ac:dyDescent="0.35">
      <c r="E123"/>
      <c r="F123"/>
      <c r="G123"/>
      <c r="H123"/>
      <c r="J123" s="19"/>
    </row>
    <row r="124" spans="5:10" x14ac:dyDescent="0.35">
      <c r="E124"/>
      <c r="F124"/>
      <c r="G124"/>
      <c r="H124"/>
      <c r="J124" s="19"/>
    </row>
    <row r="125" spans="5:10" x14ac:dyDescent="0.35">
      <c r="E125"/>
      <c r="F125"/>
      <c r="G125"/>
      <c r="H125"/>
      <c r="J125" s="19"/>
    </row>
    <row r="126" spans="5:10" x14ac:dyDescent="0.35">
      <c r="E126"/>
      <c r="F126"/>
      <c r="G126"/>
      <c r="H126"/>
      <c r="J126" s="19"/>
    </row>
    <row r="127" spans="5:10" x14ac:dyDescent="0.35">
      <c r="E127"/>
      <c r="F127"/>
      <c r="G127"/>
      <c r="H127"/>
      <c r="J127" s="19"/>
    </row>
    <row r="128" spans="5:10" x14ac:dyDescent="0.35">
      <c r="E128"/>
      <c r="F128"/>
      <c r="G128"/>
      <c r="H128"/>
      <c r="J128" s="19"/>
    </row>
    <row r="129" spans="5:10" x14ac:dyDescent="0.35">
      <c r="E129"/>
      <c r="F129"/>
      <c r="G129"/>
      <c r="H129"/>
      <c r="J129" s="19"/>
    </row>
    <row r="130" spans="5:10" x14ac:dyDescent="0.35">
      <c r="E130"/>
      <c r="F130"/>
      <c r="G130"/>
      <c r="H130"/>
      <c r="J130" s="19"/>
    </row>
    <row r="131" spans="5:10" x14ac:dyDescent="0.35">
      <c r="E131"/>
      <c r="F131"/>
      <c r="G131"/>
      <c r="H131"/>
      <c r="J131" s="19"/>
    </row>
    <row r="132" spans="5:10" x14ac:dyDescent="0.35">
      <c r="E132"/>
      <c r="F132"/>
      <c r="G132"/>
      <c r="H132"/>
      <c r="J132" s="19"/>
    </row>
    <row r="133" spans="5:10" x14ac:dyDescent="0.35">
      <c r="E133"/>
      <c r="F133"/>
      <c r="G133"/>
      <c r="H133"/>
      <c r="J133" s="19"/>
    </row>
    <row r="134" spans="5:10" x14ac:dyDescent="0.35">
      <c r="E134"/>
      <c r="F134"/>
      <c r="G134"/>
      <c r="H134"/>
      <c r="J134" s="19"/>
    </row>
    <row r="135" spans="5:10" x14ac:dyDescent="0.35">
      <c r="E135"/>
      <c r="F135"/>
      <c r="G135"/>
      <c r="H135"/>
      <c r="J135" s="19"/>
    </row>
    <row r="136" spans="5:10" x14ac:dyDescent="0.35">
      <c r="E136"/>
      <c r="F136"/>
      <c r="G136"/>
      <c r="H136"/>
      <c r="J136" s="19"/>
    </row>
    <row r="137" spans="5:10" x14ac:dyDescent="0.35">
      <c r="E137"/>
      <c r="F137"/>
      <c r="G137"/>
      <c r="H137"/>
      <c r="J137" s="19"/>
    </row>
    <row r="138" spans="5:10" x14ac:dyDescent="0.35">
      <c r="E138"/>
      <c r="F138"/>
      <c r="G138"/>
      <c r="H138"/>
      <c r="J138" s="19"/>
    </row>
    <row r="139" spans="5:10" x14ac:dyDescent="0.35">
      <c r="E139"/>
      <c r="F139"/>
      <c r="G139"/>
      <c r="H139"/>
      <c r="J139" s="19"/>
    </row>
    <row r="140" spans="5:10" x14ac:dyDescent="0.35">
      <c r="E140"/>
      <c r="F140"/>
      <c r="G140"/>
      <c r="H140"/>
      <c r="J140" s="19"/>
    </row>
    <row r="141" spans="5:10" x14ac:dyDescent="0.35">
      <c r="E141"/>
      <c r="F141"/>
      <c r="G141"/>
      <c r="H141"/>
      <c r="J141" s="19"/>
    </row>
    <row r="142" spans="5:10" x14ac:dyDescent="0.35">
      <c r="E142"/>
      <c r="F142"/>
      <c r="G142"/>
      <c r="H142"/>
      <c r="J142" s="19"/>
    </row>
    <row r="143" spans="5:10" x14ac:dyDescent="0.35">
      <c r="E143"/>
      <c r="F143"/>
      <c r="G143"/>
      <c r="H143"/>
      <c r="J143" s="19"/>
    </row>
    <row r="144" spans="5:10" x14ac:dyDescent="0.35">
      <c r="E144"/>
      <c r="F144"/>
      <c r="G144"/>
      <c r="H144"/>
      <c r="J144" s="19"/>
    </row>
    <row r="145" spans="5:10" x14ac:dyDescent="0.35">
      <c r="E145"/>
      <c r="F145"/>
      <c r="G145"/>
      <c r="H145"/>
      <c r="J145" s="19"/>
    </row>
    <row r="146" spans="5:10" x14ac:dyDescent="0.35">
      <c r="E146"/>
      <c r="F146"/>
      <c r="G146"/>
      <c r="H146"/>
      <c r="J146" s="19"/>
    </row>
    <row r="147" spans="5:10" x14ac:dyDescent="0.35">
      <c r="E147"/>
      <c r="F147"/>
      <c r="G147"/>
      <c r="H147"/>
      <c r="J147" s="19"/>
    </row>
    <row r="148" spans="5:10" x14ac:dyDescent="0.35">
      <c r="E148"/>
      <c r="F148"/>
      <c r="G148"/>
      <c r="H148"/>
      <c r="J148" s="19"/>
    </row>
    <row r="149" spans="5:10" x14ac:dyDescent="0.35">
      <c r="E149"/>
      <c r="F149"/>
      <c r="G149"/>
      <c r="H149"/>
      <c r="J149" s="19"/>
    </row>
    <row r="150" spans="5:10" x14ac:dyDescent="0.35">
      <c r="E150"/>
      <c r="F150"/>
      <c r="G150"/>
      <c r="H150"/>
      <c r="J150" s="19"/>
    </row>
    <row r="151" spans="5:10" x14ac:dyDescent="0.35">
      <c r="E151"/>
      <c r="F151"/>
      <c r="G151"/>
      <c r="H151"/>
      <c r="J151" s="19"/>
    </row>
    <row r="152" spans="5:10" x14ac:dyDescent="0.35">
      <c r="E152"/>
      <c r="F152"/>
      <c r="G152"/>
      <c r="H152"/>
      <c r="J152" s="19"/>
    </row>
    <row r="153" spans="5:10" x14ac:dyDescent="0.35">
      <c r="E153"/>
      <c r="F153"/>
      <c r="G153"/>
      <c r="H153"/>
      <c r="J153" s="19"/>
    </row>
    <row r="154" spans="5:10" x14ac:dyDescent="0.35">
      <c r="E154"/>
      <c r="F154"/>
      <c r="G154"/>
      <c r="H154"/>
      <c r="J154" s="19"/>
    </row>
    <row r="155" spans="5:10" x14ac:dyDescent="0.35">
      <c r="E155"/>
      <c r="F155"/>
      <c r="G155"/>
      <c r="H155"/>
      <c r="J155" s="19"/>
    </row>
    <row r="156" spans="5:10" x14ac:dyDescent="0.35">
      <c r="E156"/>
      <c r="F156"/>
      <c r="G156"/>
      <c r="H156"/>
      <c r="J156" s="19"/>
    </row>
    <row r="157" spans="5:10" x14ac:dyDescent="0.35">
      <c r="E157"/>
      <c r="F157"/>
      <c r="G157"/>
      <c r="H157"/>
      <c r="J157" s="19"/>
    </row>
    <row r="158" spans="5:10" x14ac:dyDescent="0.35">
      <c r="E158"/>
      <c r="F158"/>
      <c r="G158"/>
      <c r="H158"/>
      <c r="J158" s="19"/>
    </row>
    <row r="159" spans="5:10" x14ac:dyDescent="0.35">
      <c r="E159"/>
      <c r="F159"/>
      <c r="G159"/>
      <c r="H159"/>
      <c r="J159" s="19"/>
    </row>
    <row r="160" spans="5:10" x14ac:dyDescent="0.35">
      <c r="E160"/>
      <c r="F160"/>
      <c r="G160"/>
      <c r="H160"/>
      <c r="J160" s="19"/>
    </row>
    <row r="161" spans="5:10" x14ac:dyDescent="0.35">
      <c r="E161"/>
      <c r="F161"/>
      <c r="G161"/>
      <c r="H161"/>
      <c r="J161" s="19"/>
    </row>
    <row r="162" spans="5:10" x14ac:dyDescent="0.35">
      <c r="E162"/>
      <c r="F162"/>
      <c r="G162"/>
      <c r="H162"/>
      <c r="J162" s="19"/>
    </row>
    <row r="163" spans="5:10" x14ac:dyDescent="0.35">
      <c r="E163"/>
      <c r="F163"/>
      <c r="G163"/>
      <c r="H163"/>
      <c r="J163" s="19"/>
    </row>
    <row r="164" spans="5:10" x14ac:dyDescent="0.35">
      <c r="E164"/>
      <c r="F164"/>
      <c r="G164"/>
      <c r="H164"/>
      <c r="J164" s="19"/>
    </row>
    <row r="165" spans="5:10" x14ac:dyDescent="0.35">
      <c r="E165"/>
      <c r="F165"/>
      <c r="G165"/>
      <c r="H165"/>
      <c r="J165" s="19"/>
    </row>
    <row r="166" spans="5:10" x14ac:dyDescent="0.35">
      <c r="E166"/>
      <c r="F166"/>
      <c r="G166"/>
      <c r="H166"/>
      <c r="J166" s="19"/>
    </row>
    <row r="167" spans="5:10" x14ac:dyDescent="0.35">
      <c r="E167"/>
      <c r="F167"/>
      <c r="G167"/>
      <c r="H167"/>
      <c r="J167" s="19"/>
    </row>
    <row r="168" spans="5:10" x14ac:dyDescent="0.35">
      <c r="E168"/>
      <c r="F168"/>
      <c r="G168"/>
      <c r="H168"/>
      <c r="J168" s="19"/>
    </row>
    <row r="169" spans="5:10" x14ac:dyDescent="0.35">
      <c r="E169"/>
      <c r="F169"/>
      <c r="G169"/>
      <c r="H169"/>
      <c r="J169" s="19"/>
    </row>
    <row r="170" spans="5:10" x14ac:dyDescent="0.35">
      <c r="E170"/>
      <c r="F170"/>
      <c r="G170"/>
      <c r="H170"/>
      <c r="J170" s="19"/>
    </row>
    <row r="171" spans="5:10" x14ac:dyDescent="0.35">
      <c r="E171"/>
      <c r="F171"/>
      <c r="G171"/>
      <c r="H171"/>
      <c r="J171" s="19"/>
    </row>
    <row r="172" spans="5:10" x14ac:dyDescent="0.35">
      <c r="E172"/>
      <c r="F172"/>
      <c r="G172"/>
      <c r="H172"/>
      <c r="J172" s="19"/>
    </row>
    <row r="173" spans="5:10" x14ac:dyDescent="0.35">
      <c r="E173"/>
      <c r="F173"/>
      <c r="G173"/>
      <c r="H173"/>
      <c r="J173" s="19"/>
    </row>
    <row r="174" spans="5:10" x14ac:dyDescent="0.35">
      <c r="E174"/>
      <c r="F174"/>
      <c r="G174"/>
      <c r="H174"/>
      <c r="J174" s="19"/>
    </row>
    <row r="175" spans="5:10" x14ac:dyDescent="0.35">
      <c r="E175"/>
      <c r="F175"/>
      <c r="G175"/>
      <c r="H175"/>
      <c r="J175" s="19"/>
    </row>
    <row r="176" spans="5:10" x14ac:dyDescent="0.35">
      <c r="E176"/>
      <c r="F176"/>
      <c r="G176"/>
      <c r="H176"/>
      <c r="J176" s="19"/>
    </row>
    <row r="177" spans="5:10" x14ac:dyDescent="0.35">
      <c r="E177"/>
      <c r="F177"/>
      <c r="G177"/>
      <c r="H177"/>
      <c r="J177" s="19"/>
    </row>
    <row r="178" spans="5:10" x14ac:dyDescent="0.35">
      <c r="E178"/>
      <c r="F178"/>
      <c r="G178"/>
      <c r="H178"/>
      <c r="J178" s="19"/>
    </row>
    <row r="179" spans="5:10" x14ac:dyDescent="0.35">
      <c r="E179"/>
      <c r="F179"/>
      <c r="G179"/>
      <c r="H179"/>
      <c r="J179" s="19"/>
    </row>
    <row r="180" spans="5:10" x14ac:dyDescent="0.35">
      <c r="E180"/>
      <c r="F180"/>
      <c r="G180"/>
      <c r="H180"/>
      <c r="J180" s="19"/>
    </row>
    <row r="181" spans="5:10" x14ac:dyDescent="0.35">
      <c r="E181"/>
      <c r="F181"/>
      <c r="G181"/>
      <c r="H181"/>
      <c r="J181" s="19"/>
    </row>
    <row r="182" spans="5:10" x14ac:dyDescent="0.35">
      <c r="E182"/>
      <c r="F182"/>
      <c r="G182"/>
      <c r="H182"/>
      <c r="J182" s="19"/>
    </row>
    <row r="183" spans="5:10" x14ac:dyDescent="0.35">
      <c r="E183"/>
      <c r="F183"/>
      <c r="G183"/>
      <c r="H183"/>
      <c r="J183" s="19"/>
    </row>
    <row r="184" spans="5:10" x14ac:dyDescent="0.35">
      <c r="E184"/>
      <c r="F184"/>
      <c r="G184"/>
      <c r="H184"/>
      <c r="J184" s="19"/>
    </row>
    <row r="185" spans="5:10" x14ac:dyDescent="0.35">
      <c r="E185"/>
      <c r="F185"/>
      <c r="G185"/>
      <c r="H185"/>
      <c r="J185" s="19"/>
    </row>
    <row r="186" spans="5:10" x14ac:dyDescent="0.35">
      <c r="E186"/>
      <c r="F186"/>
      <c r="G186"/>
      <c r="H186"/>
      <c r="J186" s="19"/>
    </row>
    <row r="187" spans="5:10" x14ac:dyDescent="0.35">
      <c r="E187"/>
      <c r="F187"/>
      <c r="G187"/>
      <c r="H187"/>
      <c r="J187" s="19"/>
    </row>
    <row r="188" spans="5:10" x14ac:dyDescent="0.35">
      <c r="E188"/>
      <c r="F188"/>
      <c r="G188"/>
      <c r="H188"/>
      <c r="J188" s="19"/>
    </row>
    <row r="189" spans="5:10" x14ac:dyDescent="0.35">
      <c r="E189"/>
      <c r="F189"/>
      <c r="G189"/>
      <c r="H189"/>
      <c r="J189" s="19"/>
    </row>
    <row r="190" spans="5:10" x14ac:dyDescent="0.35">
      <c r="E190"/>
      <c r="F190"/>
      <c r="G190"/>
      <c r="H190"/>
      <c r="J190" s="19"/>
    </row>
    <row r="191" spans="5:10" x14ac:dyDescent="0.35">
      <c r="E191"/>
      <c r="F191"/>
      <c r="G191"/>
      <c r="H191"/>
      <c r="J191" s="19"/>
    </row>
    <row r="192" spans="5:10" x14ac:dyDescent="0.35">
      <c r="E192"/>
      <c r="F192"/>
      <c r="G192"/>
      <c r="H192"/>
      <c r="J192" s="19"/>
    </row>
    <row r="193" spans="5:10" x14ac:dyDescent="0.35">
      <c r="E193"/>
      <c r="F193"/>
      <c r="G193"/>
      <c r="H193"/>
      <c r="J193" s="19"/>
    </row>
    <row r="194" spans="5:10" x14ac:dyDescent="0.35">
      <c r="E194"/>
      <c r="F194"/>
      <c r="G194"/>
      <c r="H194"/>
      <c r="J194" s="19"/>
    </row>
    <row r="195" spans="5:10" x14ac:dyDescent="0.35">
      <c r="E195"/>
      <c r="F195"/>
      <c r="G195"/>
      <c r="H195"/>
      <c r="J195" s="19"/>
    </row>
    <row r="196" spans="5:10" x14ac:dyDescent="0.35">
      <c r="E196"/>
      <c r="F196"/>
      <c r="G196"/>
      <c r="H196"/>
      <c r="J196" s="19"/>
    </row>
    <row r="197" spans="5:10" x14ac:dyDescent="0.35">
      <c r="E197"/>
      <c r="F197"/>
      <c r="G197"/>
      <c r="H197"/>
      <c r="J197" s="19"/>
    </row>
    <row r="198" spans="5:10" x14ac:dyDescent="0.35">
      <c r="E198"/>
      <c r="F198"/>
      <c r="G198"/>
      <c r="H198"/>
      <c r="J198" s="19"/>
    </row>
    <row r="199" spans="5:10" x14ac:dyDescent="0.35">
      <c r="E199"/>
      <c r="F199"/>
      <c r="G199"/>
      <c r="H199"/>
      <c r="J199" s="19"/>
    </row>
    <row r="200" spans="5:10" x14ac:dyDescent="0.35">
      <c r="E200"/>
      <c r="F200"/>
      <c r="G200"/>
      <c r="H200"/>
      <c r="J200" s="19"/>
    </row>
    <row r="201" spans="5:10" x14ac:dyDescent="0.35">
      <c r="E201"/>
      <c r="F201"/>
      <c r="G201"/>
      <c r="H201"/>
      <c r="J201" s="19"/>
    </row>
    <row r="202" spans="5:10" x14ac:dyDescent="0.35">
      <c r="E202"/>
      <c r="F202"/>
      <c r="G202"/>
      <c r="H202"/>
      <c r="J202" s="19"/>
    </row>
    <row r="203" spans="5:10" x14ac:dyDescent="0.35">
      <c r="E203"/>
      <c r="F203"/>
      <c r="G203"/>
      <c r="H203"/>
      <c r="J203" s="19"/>
    </row>
    <row r="204" spans="5:10" x14ac:dyDescent="0.35">
      <c r="E204"/>
      <c r="F204"/>
      <c r="G204"/>
      <c r="H204"/>
      <c r="J204" s="19"/>
    </row>
    <row r="205" spans="5:10" x14ac:dyDescent="0.35">
      <c r="E205"/>
      <c r="F205"/>
      <c r="G205"/>
      <c r="H205"/>
      <c r="J205" s="19"/>
    </row>
    <row r="206" spans="5:10" x14ac:dyDescent="0.35">
      <c r="E206"/>
      <c r="F206"/>
      <c r="G206"/>
      <c r="H206"/>
      <c r="J206" s="19"/>
    </row>
    <row r="207" spans="5:10" x14ac:dyDescent="0.35">
      <c r="E207"/>
      <c r="F207"/>
      <c r="G207"/>
      <c r="H207"/>
      <c r="J207" s="19"/>
    </row>
    <row r="208" spans="5:10" x14ac:dyDescent="0.35">
      <c r="E208"/>
      <c r="F208"/>
      <c r="G208"/>
      <c r="H208"/>
      <c r="J208" s="19"/>
    </row>
    <row r="209" spans="5:10" x14ac:dyDescent="0.35">
      <c r="E209"/>
      <c r="F209"/>
      <c r="G209"/>
      <c r="H209"/>
      <c r="J209" s="19"/>
    </row>
    <row r="210" spans="5:10" x14ac:dyDescent="0.35">
      <c r="E210"/>
      <c r="F210"/>
      <c r="G210"/>
      <c r="H210"/>
      <c r="J210" s="19"/>
    </row>
    <row r="211" spans="5:10" x14ac:dyDescent="0.35">
      <c r="E211"/>
      <c r="F211"/>
      <c r="G211"/>
      <c r="H211"/>
      <c r="J211" s="19"/>
    </row>
    <row r="212" spans="5:10" x14ac:dyDescent="0.35">
      <c r="E212"/>
      <c r="F212"/>
      <c r="G212"/>
      <c r="H212"/>
      <c r="J212" s="19"/>
    </row>
    <row r="213" spans="5:10" x14ac:dyDescent="0.35">
      <c r="E213"/>
      <c r="F213"/>
      <c r="G213"/>
      <c r="H213"/>
      <c r="J213" s="19"/>
    </row>
    <row r="214" spans="5:10" x14ac:dyDescent="0.35">
      <c r="E214"/>
      <c r="F214"/>
      <c r="G214"/>
      <c r="H214"/>
      <c r="J214" s="19"/>
    </row>
    <row r="215" spans="5:10" x14ac:dyDescent="0.35">
      <c r="E215"/>
      <c r="F215"/>
      <c r="G215"/>
      <c r="H215"/>
      <c r="J215" s="19"/>
    </row>
    <row r="216" spans="5:10" x14ac:dyDescent="0.35">
      <c r="E216"/>
      <c r="F216"/>
      <c r="G216"/>
      <c r="H216"/>
      <c r="J216" s="19"/>
    </row>
    <row r="217" spans="5:10" x14ac:dyDescent="0.35">
      <c r="E217"/>
      <c r="F217"/>
      <c r="G217"/>
      <c r="H217"/>
      <c r="J217" s="19"/>
    </row>
    <row r="218" spans="5:10" x14ac:dyDescent="0.35">
      <c r="E218"/>
      <c r="F218"/>
      <c r="G218"/>
      <c r="H218"/>
      <c r="J218" s="19"/>
    </row>
    <row r="219" spans="5:10" x14ac:dyDescent="0.35">
      <c r="E219"/>
      <c r="F219"/>
      <c r="G219"/>
      <c r="H219"/>
      <c r="J219" s="19"/>
    </row>
    <row r="220" spans="5:10" x14ac:dyDescent="0.35">
      <c r="E220"/>
      <c r="F220"/>
      <c r="G220"/>
      <c r="H220"/>
      <c r="J220" s="19"/>
    </row>
    <row r="221" spans="5:10" x14ac:dyDescent="0.35">
      <c r="E221"/>
      <c r="F221"/>
      <c r="G221"/>
      <c r="H221"/>
      <c r="J221" s="19"/>
    </row>
    <row r="222" spans="5:10" x14ac:dyDescent="0.35">
      <c r="E222"/>
      <c r="F222"/>
      <c r="G222"/>
      <c r="H222"/>
      <c r="J222" s="19"/>
    </row>
    <row r="223" spans="5:10" x14ac:dyDescent="0.35">
      <c r="E223"/>
      <c r="F223"/>
      <c r="G223"/>
      <c r="H223"/>
      <c r="J223" s="19"/>
    </row>
    <row r="224" spans="5:10" x14ac:dyDescent="0.35">
      <c r="E224"/>
      <c r="F224"/>
      <c r="G224"/>
      <c r="H224"/>
      <c r="J224" s="19"/>
    </row>
    <row r="225" spans="5:10" x14ac:dyDescent="0.35">
      <c r="E225"/>
      <c r="F225"/>
      <c r="G225"/>
      <c r="H225"/>
      <c r="J225" s="19"/>
    </row>
    <row r="226" spans="5:10" x14ac:dyDescent="0.35">
      <c r="E226"/>
      <c r="F226"/>
      <c r="G226"/>
      <c r="H226"/>
      <c r="J226" s="19"/>
    </row>
    <row r="227" spans="5:10" x14ac:dyDescent="0.35">
      <c r="E227"/>
      <c r="F227"/>
      <c r="G227"/>
      <c r="H227"/>
      <c r="J227" s="19"/>
    </row>
    <row r="228" spans="5:10" x14ac:dyDescent="0.35">
      <c r="E228"/>
      <c r="F228"/>
      <c r="G228"/>
      <c r="H228"/>
      <c r="J228" s="19"/>
    </row>
    <row r="229" spans="5:10" x14ac:dyDescent="0.35">
      <c r="E229"/>
      <c r="F229"/>
      <c r="G229"/>
      <c r="H229"/>
      <c r="J229" s="19"/>
    </row>
    <row r="230" spans="5:10" x14ac:dyDescent="0.35">
      <c r="E230"/>
      <c r="F230"/>
      <c r="G230"/>
      <c r="H230"/>
      <c r="J230" s="19"/>
    </row>
    <row r="231" spans="5:10" x14ac:dyDescent="0.35">
      <c r="E231"/>
      <c r="F231"/>
      <c r="G231"/>
      <c r="H231"/>
      <c r="J231" s="19"/>
    </row>
    <row r="232" spans="5:10" x14ac:dyDescent="0.35">
      <c r="E232"/>
      <c r="F232"/>
      <c r="G232"/>
      <c r="H232"/>
      <c r="J232" s="19"/>
    </row>
    <row r="233" spans="5:10" x14ac:dyDescent="0.35">
      <c r="E233"/>
      <c r="F233"/>
      <c r="G233"/>
      <c r="H233"/>
      <c r="J233" s="19"/>
    </row>
    <row r="234" spans="5:10" x14ac:dyDescent="0.35">
      <c r="E234"/>
      <c r="F234"/>
      <c r="G234"/>
      <c r="H234"/>
      <c r="J234" s="19"/>
    </row>
    <row r="235" spans="5:10" x14ac:dyDescent="0.35">
      <c r="E235"/>
      <c r="F235"/>
      <c r="G235"/>
      <c r="H235"/>
      <c r="J235" s="19"/>
    </row>
    <row r="236" spans="5:10" x14ac:dyDescent="0.35">
      <c r="E236"/>
      <c r="F236"/>
      <c r="G236"/>
      <c r="H236"/>
      <c r="J236" s="19"/>
    </row>
    <row r="237" spans="5:10" x14ac:dyDescent="0.35">
      <c r="E237"/>
      <c r="F237"/>
      <c r="G237"/>
      <c r="H237"/>
      <c r="J237" s="19"/>
    </row>
    <row r="238" spans="5:10" x14ac:dyDescent="0.35">
      <c r="E238"/>
      <c r="F238"/>
      <c r="G238"/>
      <c r="H238"/>
      <c r="J238" s="19"/>
    </row>
    <row r="239" spans="5:10" x14ac:dyDescent="0.35">
      <c r="E239"/>
      <c r="F239"/>
      <c r="G239"/>
      <c r="H239"/>
      <c r="J239" s="19"/>
    </row>
    <row r="240" spans="5:10" x14ac:dyDescent="0.35">
      <c r="E240"/>
      <c r="F240"/>
      <c r="G240"/>
      <c r="H240"/>
      <c r="J240" s="19"/>
    </row>
    <row r="241" spans="5:10" x14ac:dyDescent="0.35">
      <c r="E241"/>
      <c r="F241"/>
      <c r="G241"/>
      <c r="H241"/>
      <c r="J241" s="19"/>
    </row>
    <row r="242" spans="5:10" x14ac:dyDescent="0.35">
      <c r="E242"/>
      <c r="F242"/>
      <c r="G242"/>
      <c r="H242"/>
      <c r="J242" s="19"/>
    </row>
    <row r="243" spans="5:10" x14ac:dyDescent="0.35">
      <c r="E243"/>
      <c r="F243"/>
      <c r="G243"/>
      <c r="H243"/>
      <c r="J243" s="19"/>
    </row>
    <row r="244" spans="5:10" x14ac:dyDescent="0.35">
      <c r="E244"/>
      <c r="F244"/>
      <c r="G244"/>
      <c r="H244"/>
      <c r="J244" s="19"/>
    </row>
    <row r="245" spans="5:10" x14ac:dyDescent="0.35">
      <c r="E245"/>
      <c r="F245"/>
      <c r="G245"/>
      <c r="H245"/>
      <c r="J245" s="19"/>
    </row>
    <row r="246" spans="5:10" x14ac:dyDescent="0.35">
      <c r="E246"/>
      <c r="F246"/>
      <c r="G246"/>
      <c r="H246"/>
      <c r="J246" s="19"/>
    </row>
    <row r="247" spans="5:10" x14ac:dyDescent="0.35">
      <c r="E247"/>
      <c r="F247"/>
      <c r="G247"/>
      <c r="H247"/>
      <c r="J247" s="19"/>
    </row>
    <row r="248" spans="5:10" x14ac:dyDescent="0.35">
      <c r="E248"/>
      <c r="F248"/>
      <c r="G248"/>
      <c r="H248"/>
      <c r="J248" s="19"/>
    </row>
    <row r="249" spans="5:10" x14ac:dyDescent="0.35">
      <c r="E249"/>
      <c r="F249"/>
      <c r="G249"/>
      <c r="H249"/>
      <c r="J249" s="19"/>
    </row>
    <row r="250" spans="5:10" x14ac:dyDescent="0.35">
      <c r="E250"/>
      <c r="F250"/>
      <c r="G250"/>
      <c r="H250"/>
      <c r="J250" s="19"/>
    </row>
    <row r="251" spans="5:10" x14ac:dyDescent="0.35">
      <c r="E251"/>
      <c r="F251"/>
      <c r="G251"/>
      <c r="H251"/>
      <c r="J251" s="19"/>
    </row>
    <row r="252" spans="5:10" x14ac:dyDescent="0.35">
      <c r="E252"/>
      <c r="F252"/>
      <c r="G252"/>
      <c r="H252"/>
      <c r="J252" s="19"/>
    </row>
    <row r="253" spans="5:10" x14ac:dyDescent="0.35">
      <c r="E253"/>
      <c r="F253"/>
      <c r="G253"/>
      <c r="H253"/>
      <c r="J253" s="19"/>
    </row>
    <row r="254" spans="5:10" x14ac:dyDescent="0.35">
      <c r="E254"/>
      <c r="F254"/>
      <c r="G254"/>
      <c r="H254"/>
      <c r="J254" s="19"/>
    </row>
    <row r="255" spans="5:10" x14ac:dyDescent="0.35">
      <c r="E255"/>
      <c r="F255"/>
      <c r="G255"/>
      <c r="H255"/>
      <c r="J255" s="19"/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T101"/>
  <sheetViews>
    <sheetView workbookViewId="0">
      <pane ySplit="1" topLeftCell="A77" activePane="bottomLeft" state="frozen"/>
      <selection pane="bottomLeft"/>
    </sheetView>
  </sheetViews>
  <sheetFormatPr defaultRowHeight="14.5" x14ac:dyDescent="0.35"/>
  <cols>
    <col min="4" max="4" width="17.7265625" customWidth="1"/>
    <col min="5" max="5" width="10.26953125" customWidth="1"/>
    <col min="6" max="6" width="14.453125" customWidth="1"/>
    <col min="7" max="7" width="18.26953125" customWidth="1"/>
    <col min="8" max="8" width="12.6328125" bestFit="1" customWidth="1"/>
    <col min="9" max="9" width="11.1796875" customWidth="1"/>
    <col min="13" max="13" width="9.54296875" customWidth="1"/>
  </cols>
  <sheetData>
    <row r="1" spans="1:20" x14ac:dyDescent="0.35">
      <c r="A1" s="44" t="s">
        <v>0</v>
      </c>
      <c r="B1" s="44" t="s">
        <v>1</v>
      </c>
      <c r="C1" s="44" t="s">
        <v>2</v>
      </c>
      <c r="D1" s="46" t="s">
        <v>58</v>
      </c>
      <c r="E1" s="46" t="s">
        <v>101</v>
      </c>
      <c r="F1" s="46" t="s">
        <v>124</v>
      </c>
      <c r="G1" s="46" t="s">
        <v>154</v>
      </c>
      <c r="H1" s="45" t="s">
        <v>49</v>
      </c>
      <c r="I1" s="45" t="s">
        <v>19</v>
      </c>
      <c r="J1" s="45" t="s">
        <v>20</v>
      </c>
      <c r="K1" s="45" t="s">
        <v>23</v>
      </c>
      <c r="L1" s="8" t="s">
        <v>21</v>
      </c>
      <c r="M1" s="8" t="s">
        <v>24</v>
      </c>
      <c r="N1" s="8" t="s">
        <v>25</v>
      </c>
      <c r="O1" s="8" t="s">
        <v>26</v>
      </c>
      <c r="P1" s="8" t="s">
        <v>16</v>
      </c>
      <c r="Q1" s="8" t="s">
        <v>28</v>
      </c>
      <c r="R1" s="8" t="s">
        <v>29</v>
      </c>
      <c r="S1" s="5" t="s">
        <v>51</v>
      </c>
      <c r="T1" s="7"/>
    </row>
    <row r="2" spans="1:20" x14ac:dyDescent="0.35">
      <c r="A2" s="42" t="s">
        <v>30</v>
      </c>
      <c r="B2" s="42">
        <v>2021</v>
      </c>
      <c r="C2" s="42" t="s">
        <v>31</v>
      </c>
      <c r="D2" s="42" t="s">
        <v>113</v>
      </c>
      <c r="E2" s="42" t="s">
        <v>91</v>
      </c>
      <c r="F2" s="42">
        <v>54.77</v>
      </c>
      <c r="G2" s="42">
        <v>4005.8778000000002</v>
      </c>
      <c r="H2" s="43">
        <v>2065.6999999999998</v>
      </c>
      <c r="I2" s="43">
        <v>466.7</v>
      </c>
      <c r="J2" s="43">
        <v>311.60000000000002</v>
      </c>
      <c r="K2" s="43">
        <v>318.7</v>
      </c>
      <c r="L2" s="43">
        <v>150.9</v>
      </c>
      <c r="M2" s="43">
        <v>147.5</v>
      </c>
      <c r="N2" s="4">
        <v>155.1</v>
      </c>
      <c r="O2" s="4">
        <v>163.5</v>
      </c>
      <c r="P2" s="4">
        <v>184.6</v>
      </c>
      <c r="Q2" s="4">
        <v>155.9</v>
      </c>
      <c r="R2" s="4">
        <v>158.5</v>
      </c>
      <c r="S2" s="4">
        <v>4120.1999999999989</v>
      </c>
      <c r="T2" s="7"/>
    </row>
    <row r="3" spans="1:20" x14ac:dyDescent="0.35">
      <c r="A3" s="42" t="s">
        <v>33</v>
      </c>
      <c r="B3" s="42">
        <v>2021</v>
      </c>
      <c r="C3" s="42" t="s">
        <v>31</v>
      </c>
      <c r="D3" s="42" t="s">
        <v>113</v>
      </c>
      <c r="E3" s="42" t="s">
        <v>91</v>
      </c>
      <c r="F3" s="42">
        <v>54.77</v>
      </c>
      <c r="G3" s="42">
        <v>4005.8778000000002</v>
      </c>
      <c r="H3" s="43">
        <v>2097</v>
      </c>
      <c r="I3" s="43">
        <v>440</v>
      </c>
      <c r="J3" s="43">
        <v>303.39999999999998</v>
      </c>
      <c r="K3" s="43">
        <v>311.79999999999995</v>
      </c>
      <c r="L3" s="43">
        <v>142.9</v>
      </c>
      <c r="M3" s="43">
        <v>136.9</v>
      </c>
      <c r="N3" s="4">
        <v>145.4</v>
      </c>
      <c r="O3" s="4">
        <v>156.1</v>
      </c>
      <c r="P3" s="4">
        <v>191.8</v>
      </c>
      <c r="Q3" s="4">
        <v>147.6</v>
      </c>
      <c r="R3" s="4">
        <v>156</v>
      </c>
      <c r="S3" s="4">
        <v>4072.9</v>
      </c>
      <c r="T3" s="7"/>
    </row>
    <row r="4" spans="1:20" x14ac:dyDescent="0.35">
      <c r="A4" s="42" t="s">
        <v>34</v>
      </c>
      <c r="B4" s="42">
        <v>2021</v>
      </c>
      <c r="C4" s="42" t="s">
        <v>31</v>
      </c>
      <c r="D4" s="42" t="s">
        <v>113</v>
      </c>
      <c r="E4" s="42" t="s">
        <v>91</v>
      </c>
      <c r="F4" s="42">
        <v>54.77</v>
      </c>
      <c r="G4" s="42">
        <v>4005.8778000000002</v>
      </c>
      <c r="H4" s="43">
        <v>2076.5</v>
      </c>
      <c r="I4" s="43">
        <v>455.8</v>
      </c>
      <c r="J4" s="43">
        <v>307.7</v>
      </c>
      <c r="K4" s="43">
        <v>316.10000000000002</v>
      </c>
      <c r="L4" s="43">
        <v>147.9</v>
      </c>
      <c r="M4" s="43">
        <v>141.9</v>
      </c>
      <c r="N4" s="4">
        <v>149.6</v>
      </c>
      <c r="O4" s="4">
        <v>159.19999999999999</v>
      </c>
      <c r="P4" s="4">
        <v>186.5</v>
      </c>
      <c r="Q4" s="4">
        <v>151.9</v>
      </c>
      <c r="R4" s="4">
        <v>157.30000000000001</v>
      </c>
      <c r="S4" s="4">
        <v>4093.1</v>
      </c>
      <c r="T4" s="7"/>
    </row>
    <row r="5" spans="1:20" x14ac:dyDescent="0.35">
      <c r="A5" s="42" t="s">
        <v>30</v>
      </c>
      <c r="B5" s="42">
        <v>2021</v>
      </c>
      <c r="C5" s="42" t="s">
        <v>35</v>
      </c>
      <c r="D5" s="42" t="s">
        <v>111</v>
      </c>
      <c r="E5" s="42" t="s">
        <v>91</v>
      </c>
      <c r="F5" s="42">
        <v>62.28</v>
      </c>
      <c r="G5" s="42">
        <v>4533.9839999999995</v>
      </c>
      <c r="H5" s="43">
        <v>2025.3</v>
      </c>
      <c r="I5" s="43">
        <v>471.4</v>
      </c>
      <c r="J5" s="43">
        <v>314.60000000000002</v>
      </c>
      <c r="K5" s="43">
        <v>319.5</v>
      </c>
      <c r="L5" s="43">
        <v>154.4</v>
      </c>
      <c r="M5" s="43">
        <v>150.19999999999999</v>
      </c>
      <c r="N5" s="4">
        <v>157</v>
      </c>
      <c r="O5" s="4">
        <v>163.6</v>
      </c>
      <c r="P5" s="4">
        <v>186.5</v>
      </c>
      <c r="Q5" s="4">
        <v>157.19999999999999</v>
      </c>
      <c r="R5" s="4">
        <v>156.69999999999999</v>
      </c>
      <c r="S5" s="4">
        <v>4099.7</v>
      </c>
      <c r="T5" s="7"/>
    </row>
    <row r="6" spans="1:20" x14ac:dyDescent="0.35">
      <c r="A6" s="42" t="s">
        <v>33</v>
      </c>
      <c r="B6" s="42">
        <v>2021</v>
      </c>
      <c r="C6" s="42" t="s">
        <v>35</v>
      </c>
      <c r="D6" s="42" t="s">
        <v>111</v>
      </c>
      <c r="E6" s="42" t="s">
        <v>91</v>
      </c>
      <c r="F6" s="42">
        <v>62.28</v>
      </c>
      <c r="G6" s="42">
        <v>4533.9839999999995</v>
      </c>
      <c r="H6" s="43">
        <v>2066</v>
      </c>
      <c r="I6" s="43">
        <v>444.2</v>
      </c>
      <c r="J6" s="43">
        <v>306.3</v>
      </c>
      <c r="K6" s="43">
        <v>313</v>
      </c>
      <c r="L6" s="43">
        <v>149.1</v>
      </c>
      <c r="M6" s="43">
        <v>140.5</v>
      </c>
      <c r="N6" s="4">
        <v>147.30000000000001</v>
      </c>
      <c r="O6" s="4">
        <v>156.6</v>
      </c>
      <c r="P6" s="4">
        <v>193.3</v>
      </c>
      <c r="Q6" s="4">
        <v>149.30000000000001</v>
      </c>
      <c r="R6" s="4">
        <v>156.5</v>
      </c>
      <c r="S6" s="4">
        <v>4065.6000000000004</v>
      </c>
      <c r="T6" s="7"/>
    </row>
    <row r="7" spans="1:20" x14ac:dyDescent="0.35">
      <c r="A7" s="42" t="s">
        <v>34</v>
      </c>
      <c r="B7" s="42">
        <v>2021</v>
      </c>
      <c r="C7" s="42" t="s">
        <v>35</v>
      </c>
      <c r="D7" s="42" t="s">
        <v>111</v>
      </c>
      <c r="E7" s="42" t="s">
        <v>91</v>
      </c>
      <c r="F7" s="42">
        <v>62.28</v>
      </c>
      <c r="G7" s="42">
        <v>4533.9839999999995</v>
      </c>
      <c r="H7" s="43">
        <v>2039.3000000000002</v>
      </c>
      <c r="I7" s="43">
        <v>460.40000000000003</v>
      </c>
      <c r="J7" s="43">
        <v>310.70000000000005</v>
      </c>
      <c r="K7" s="43">
        <v>317.10000000000002</v>
      </c>
      <c r="L7" s="43">
        <v>152.4</v>
      </c>
      <c r="M7" s="43">
        <v>145.1</v>
      </c>
      <c r="N7" s="4">
        <v>151.5</v>
      </c>
      <c r="O7" s="4">
        <v>159.5</v>
      </c>
      <c r="P7" s="4">
        <v>188.3</v>
      </c>
      <c r="Q7" s="4">
        <v>153.4</v>
      </c>
      <c r="R7" s="4">
        <v>156.6</v>
      </c>
      <c r="S7" s="4">
        <v>4077.7000000000007</v>
      </c>
      <c r="T7" s="7"/>
    </row>
    <row r="8" spans="1:20" x14ac:dyDescent="0.35">
      <c r="A8" s="42" t="s">
        <v>30</v>
      </c>
      <c r="B8" s="42">
        <v>2021</v>
      </c>
      <c r="C8" s="42" t="s">
        <v>36</v>
      </c>
      <c r="D8" s="42" t="s">
        <v>117</v>
      </c>
      <c r="E8" s="42" t="s">
        <v>91</v>
      </c>
      <c r="F8" s="42">
        <v>65.41</v>
      </c>
      <c r="G8" s="42">
        <v>4761.848</v>
      </c>
      <c r="H8" s="43">
        <v>2025.7</v>
      </c>
      <c r="I8" s="43">
        <v>472.9</v>
      </c>
      <c r="J8" s="43">
        <v>314.70000000000005</v>
      </c>
      <c r="K8" s="43">
        <v>317.7</v>
      </c>
      <c r="L8" s="43">
        <v>156</v>
      </c>
      <c r="M8" s="43">
        <v>151.30000000000001</v>
      </c>
      <c r="N8" s="4">
        <v>157.80000000000001</v>
      </c>
      <c r="O8" s="4">
        <v>163.80000000000001</v>
      </c>
      <c r="P8" s="4">
        <v>186.1</v>
      </c>
      <c r="Q8" s="4">
        <v>157.30000000000001</v>
      </c>
      <c r="R8" s="4">
        <v>156.69999999999999</v>
      </c>
      <c r="S8" s="4">
        <v>4103.3</v>
      </c>
      <c r="T8" s="7"/>
    </row>
    <row r="9" spans="1:20" x14ac:dyDescent="0.35">
      <c r="A9" s="42" t="s">
        <v>33</v>
      </c>
      <c r="B9" s="42">
        <v>2021</v>
      </c>
      <c r="C9" s="42" t="s">
        <v>36</v>
      </c>
      <c r="D9" s="42" t="s">
        <v>117</v>
      </c>
      <c r="E9" s="42" t="s">
        <v>91</v>
      </c>
      <c r="F9" s="42">
        <v>65.41</v>
      </c>
      <c r="G9" s="42">
        <v>4761.848</v>
      </c>
      <c r="H9" s="43">
        <v>2064.4999999999995</v>
      </c>
      <c r="I9" s="43">
        <v>446.4</v>
      </c>
      <c r="J9" s="43">
        <v>307.10000000000002</v>
      </c>
      <c r="K9" s="43">
        <v>311.8</v>
      </c>
      <c r="L9" s="43">
        <v>154.80000000000001</v>
      </c>
      <c r="M9" s="43">
        <v>141.69999999999999</v>
      </c>
      <c r="N9" s="4">
        <v>148.6</v>
      </c>
      <c r="O9" s="4">
        <v>157.6</v>
      </c>
      <c r="P9" s="4">
        <v>193.5</v>
      </c>
      <c r="Q9" s="4">
        <v>150</v>
      </c>
      <c r="R9" s="4">
        <v>156.9</v>
      </c>
      <c r="S9" s="4">
        <v>4075.9999999999995</v>
      </c>
      <c r="T9" s="7"/>
    </row>
    <row r="10" spans="1:20" x14ac:dyDescent="0.35">
      <c r="A10" s="42" t="s">
        <v>34</v>
      </c>
      <c r="B10" s="42">
        <v>2021</v>
      </c>
      <c r="C10" s="42" t="s">
        <v>36</v>
      </c>
      <c r="D10" s="42" t="s">
        <v>117</v>
      </c>
      <c r="E10" s="42" t="s">
        <v>91</v>
      </c>
      <c r="F10" s="42">
        <v>65.41</v>
      </c>
      <c r="G10" s="42">
        <v>4761.848</v>
      </c>
      <c r="H10" s="43">
        <v>2039.3999999999999</v>
      </c>
      <c r="I10" s="43">
        <v>462.1</v>
      </c>
      <c r="J10" s="43">
        <v>311.10000000000002</v>
      </c>
      <c r="K10" s="43">
        <v>315.5</v>
      </c>
      <c r="L10" s="43">
        <v>155.5</v>
      </c>
      <c r="M10" s="43">
        <v>146.19999999999999</v>
      </c>
      <c r="N10" s="4">
        <v>152.6</v>
      </c>
      <c r="O10" s="4">
        <v>160.19999999999999</v>
      </c>
      <c r="P10" s="4">
        <v>188.1</v>
      </c>
      <c r="Q10" s="4">
        <v>153.80000000000001</v>
      </c>
      <c r="R10" s="4">
        <v>156.80000000000001</v>
      </c>
      <c r="S10" s="4">
        <v>4084.4999999999995</v>
      </c>
      <c r="T10" s="7"/>
    </row>
    <row r="11" spans="1:20" x14ac:dyDescent="0.35">
      <c r="A11" s="42" t="s">
        <v>30</v>
      </c>
      <c r="B11" s="42">
        <v>2021</v>
      </c>
      <c r="C11" s="42" t="s">
        <v>37</v>
      </c>
      <c r="D11" s="42" t="s">
        <v>107</v>
      </c>
      <c r="E11" s="42" t="s">
        <v>90</v>
      </c>
      <c r="F11" s="42">
        <v>64.81</v>
      </c>
      <c r="G11" s="42">
        <v>4825.1045000000004</v>
      </c>
      <c r="H11" s="43">
        <v>2049.5</v>
      </c>
      <c r="I11" s="43">
        <v>475.69999999999993</v>
      </c>
      <c r="J11" s="43">
        <v>316.89999999999998</v>
      </c>
      <c r="K11" s="43">
        <v>319.89999999999998</v>
      </c>
      <c r="L11" s="43">
        <v>156</v>
      </c>
      <c r="M11" s="43">
        <v>151.69999999999999</v>
      </c>
      <c r="N11" s="4">
        <v>158.6</v>
      </c>
      <c r="O11" s="4">
        <v>164.1</v>
      </c>
      <c r="P11" s="4">
        <v>186.8</v>
      </c>
      <c r="Q11" s="4">
        <v>158</v>
      </c>
      <c r="R11" s="4">
        <v>157.6</v>
      </c>
      <c r="S11" s="4">
        <v>4137.2</v>
      </c>
      <c r="T11" s="7"/>
    </row>
    <row r="12" spans="1:20" x14ac:dyDescent="0.35">
      <c r="A12" s="42" t="s">
        <v>33</v>
      </c>
      <c r="B12" s="42">
        <v>2021</v>
      </c>
      <c r="C12" s="42" t="s">
        <v>37</v>
      </c>
      <c r="D12" s="42" t="s">
        <v>107</v>
      </c>
      <c r="E12" s="42" t="s">
        <v>90</v>
      </c>
      <c r="F12" s="42">
        <v>64.81</v>
      </c>
      <c r="G12" s="42">
        <v>4825.1045000000004</v>
      </c>
      <c r="H12" s="43">
        <v>2089.6</v>
      </c>
      <c r="I12" s="43">
        <v>448.6</v>
      </c>
      <c r="J12" s="43">
        <v>309</v>
      </c>
      <c r="K12" s="43">
        <v>314.10000000000002</v>
      </c>
      <c r="L12" s="43">
        <v>154.9</v>
      </c>
      <c r="M12" s="43">
        <v>142.1</v>
      </c>
      <c r="N12" s="4">
        <v>149.1</v>
      </c>
      <c r="O12" s="4">
        <v>157.6</v>
      </c>
      <c r="P12" s="4">
        <v>194.4</v>
      </c>
      <c r="Q12" s="4">
        <v>150.5</v>
      </c>
      <c r="R12" s="4">
        <v>158</v>
      </c>
      <c r="S12" s="4">
        <v>4109.8999999999996</v>
      </c>
      <c r="T12" s="7"/>
    </row>
    <row r="13" spans="1:20" x14ac:dyDescent="0.35">
      <c r="A13" s="42" t="s">
        <v>34</v>
      </c>
      <c r="B13" s="42">
        <v>2021</v>
      </c>
      <c r="C13" s="42" t="s">
        <v>37</v>
      </c>
      <c r="D13" s="42" t="s">
        <v>107</v>
      </c>
      <c r="E13" s="42" t="s">
        <v>90</v>
      </c>
      <c r="F13" s="42">
        <v>64.81</v>
      </c>
      <c r="G13" s="42">
        <v>4825.1045000000004</v>
      </c>
      <c r="H13" s="43">
        <v>2064.1</v>
      </c>
      <c r="I13" s="43">
        <v>464.6</v>
      </c>
      <c r="J13" s="43">
        <v>313.20000000000005</v>
      </c>
      <c r="K13" s="43">
        <v>317.70000000000005</v>
      </c>
      <c r="L13" s="43">
        <v>155.6</v>
      </c>
      <c r="M13" s="43">
        <v>146.6</v>
      </c>
      <c r="N13" s="4">
        <v>153.19999999999999</v>
      </c>
      <c r="O13" s="4">
        <v>160.30000000000001</v>
      </c>
      <c r="P13" s="4">
        <v>188.8</v>
      </c>
      <c r="Q13" s="4">
        <v>154.4</v>
      </c>
      <c r="R13" s="4">
        <v>157.80000000000001</v>
      </c>
      <c r="S13" s="4">
        <v>4118.4999999999991</v>
      </c>
      <c r="T13" s="7"/>
    </row>
    <row r="14" spans="1:20" x14ac:dyDescent="0.35">
      <c r="A14" s="42" t="s">
        <v>30</v>
      </c>
      <c r="B14" s="42">
        <v>2021</v>
      </c>
      <c r="C14" s="42" t="s">
        <v>38</v>
      </c>
      <c r="D14" s="42" t="s">
        <v>119</v>
      </c>
      <c r="E14" s="42" t="s">
        <v>90</v>
      </c>
      <c r="F14" s="42">
        <v>68.53</v>
      </c>
      <c r="G14" s="42">
        <v>5019.8225000000002</v>
      </c>
      <c r="H14" s="43">
        <v>2095.2999999999997</v>
      </c>
      <c r="I14" s="43">
        <v>490.4</v>
      </c>
      <c r="J14" s="43">
        <v>320.39999999999998</v>
      </c>
      <c r="K14" s="43">
        <v>328.4</v>
      </c>
      <c r="L14" s="43">
        <v>161.69999999999999</v>
      </c>
      <c r="M14" s="43">
        <v>153.19999999999999</v>
      </c>
      <c r="N14" s="4">
        <v>160</v>
      </c>
      <c r="O14" s="4">
        <v>167.6</v>
      </c>
      <c r="P14" s="4">
        <v>189.6</v>
      </c>
      <c r="Q14" s="4">
        <v>161.1</v>
      </c>
      <c r="R14" s="4">
        <v>161.1</v>
      </c>
      <c r="S14" s="4">
        <v>4227.7</v>
      </c>
      <c r="T14" s="7"/>
    </row>
    <row r="15" spans="1:20" x14ac:dyDescent="0.35">
      <c r="A15" s="42" t="s">
        <v>33</v>
      </c>
      <c r="B15" s="42">
        <v>2021</v>
      </c>
      <c r="C15" s="42" t="s">
        <v>38</v>
      </c>
      <c r="D15" s="42" t="s">
        <v>119</v>
      </c>
      <c r="E15" s="42" t="s">
        <v>90</v>
      </c>
      <c r="F15" s="42">
        <v>68.53</v>
      </c>
      <c r="G15" s="42">
        <v>5019.8225000000002</v>
      </c>
      <c r="H15" s="43">
        <v>2124.7000000000003</v>
      </c>
      <c r="I15" s="43">
        <v>450.79999999999995</v>
      </c>
      <c r="J15" s="43">
        <v>311.7</v>
      </c>
      <c r="K15" s="43">
        <v>317.89999999999998</v>
      </c>
      <c r="L15" s="43">
        <v>155.5</v>
      </c>
      <c r="M15" s="43">
        <v>145</v>
      </c>
      <c r="N15" s="4">
        <v>152.6</v>
      </c>
      <c r="O15" s="4">
        <v>156.6</v>
      </c>
      <c r="P15" s="4">
        <v>198.2</v>
      </c>
      <c r="Q15" s="4">
        <v>152.30000000000001</v>
      </c>
      <c r="R15" s="4">
        <v>159.5</v>
      </c>
      <c r="S15" s="4">
        <v>4165.2999999999993</v>
      </c>
      <c r="T15" s="7"/>
    </row>
    <row r="16" spans="1:20" x14ac:dyDescent="0.35">
      <c r="A16" s="42" t="s">
        <v>34</v>
      </c>
      <c r="B16" s="42">
        <v>2021</v>
      </c>
      <c r="C16" s="42" t="s">
        <v>38</v>
      </c>
      <c r="D16" s="42" t="s">
        <v>119</v>
      </c>
      <c r="E16" s="42" t="s">
        <v>90</v>
      </c>
      <c r="F16" s="42">
        <v>68.53</v>
      </c>
      <c r="G16" s="42">
        <v>5019.8225000000002</v>
      </c>
      <c r="H16" s="43">
        <v>2105.7000000000003</v>
      </c>
      <c r="I16" s="43">
        <v>474.29999999999995</v>
      </c>
      <c r="J16" s="43">
        <v>316.29999999999995</v>
      </c>
      <c r="K16" s="43">
        <v>324.39999999999998</v>
      </c>
      <c r="L16" s="43">
        <v>159.4</v>
      </c>
      <c r="M16" s="43">
        <v>148.9</v>
      </c>
      <c r="N16" s="4">
        <v>155.80000000000001</v>
      </c>
      <c r="O16" s="4">
        <v>161.19999999999999</v>
      </c>
      <c r="P16" s="4">
        <v>191.9</v>
      </c>
      <c r="Q16" s="4">
        <v>156.80000000000001</v>
      </c>
      <c r="R16" s="4">
        <v>160.4</v>
      </c>
      <c r="S16" s="4">
        <v>4194.7000000000007</v>
      </c>
      <c r="T16" s="7"/>
    </row>
    <row r="17" spans="1:20" x14ac:dyDescent="0.35">
      <c r="A17" s="42" t="s">
        <v>30</v>
      </c>
      <c r="B17" s="42">
        <v>2021</v>
      </c>
      <c r="C17" s="42" t="s">
        <v>39</v>
      </c>
      <c r="D17" s="42" t="s">
        <v>116</v>
      </c>
      <c r="E17" s="42" t="s">
        <v>90</v>
      </c>
      <c r="F17" s="42">
        <v>73.16</v>
      </c>
      <c r="G17" s="42">
        <v>5380.9179999999997</v>
      </c>
      <c r="H17" s="43">
        <v>2122.6</v>
      </c>
      <c r="I17" s="43">
        <v>489.80000000000007</v>
      </c>
      <c r="J17" s="43">
        <v>319.7</v>
      </c>
      <c r="K17" s="43">
        <v>329.1</v>
      </c>
      <c r="L17" s="43">
        <v>162.1</v>
      </c>
      <c r="M17" s="43">
        <v>154.19999999999999</v>
      </c>
      <c r="N17" s="4">
        <v>160.4</v>
      </c>
      <c r="O17" s="4">
        <v>166.8</v>
      </c>
      <c r="P17" s="4">
        <v>189.1</v>
      </c>
      <c r="Q17" s="4">
        <v>161.5</v>
      </c>
      <c r="R17" s="4">
        <v>162.1</v>
      </c>
      <c r="S17" s="4">
        <v>4255.2999999999993</v>
      </c>
      <c r="T17" s="7"/>
    </row>
    <row r="18" spans="1:20" x14ac:dyDescent="0.35">
      <c r="A18" s="42" t="s">
        <v>33</v>
      </c>
      <c r="B18" s="42">
        <v>2021</v>
      </c>
      <c r="C18" s="42" t="s">
        <v>39</v>
      </c>
      <c r="D18" s="42" t="s">
        <v>116</v>
      </c>
      <c r="E18" s="42" t="s">
        <v>90</v>
      </c>
      <c r="F18" s="42">
        <v>73.16</v>
      </c>
      <c r="G18" s="118">
        <v>5380.9179999999997</v>
      </c>
      <c r="H18" s="43">
        <v>2154.1999999999998</v>
      </c>
      <c r="I18" s="43">
        <v>452.6</v>
      </c>
      <c r="J18" s="43">
        <v>310.3</v>
      </c>
      <c r="K18" s="43">
        <v>318.8</v>
      </c>
      <c r="L18" s="43">
        <v>156.1</v>
      </c>
      <c r="M18" s="43">
        <v>147.5</v>
      </c>
      <c r="N18" s="4">
        <v>150.69999999999999</v>
      </c>
      <c r="O18" s="4">
        <v>158.1</v>
      </c>
      <c r="P18" s="4">
        <v>195.6</v>
      </c>
      <c r="Q18" s="4">
        <v>153.4</v>
      </c>
      <c r="R18" s="4">
        <v>160.4</v>
      </c>
      <c r="S18" s="4">
        <v>4197.2999999999993</v>
      </c>
      <c r="T18" s="7"/>
    </row>
    <row r="19" spans="1:20" x14ac:dyDescent="0.35">
      <c r="A19" s="42" t="s">
        <v>34</v>
      </c>
      <c r="B19" s="42">
        <v>2021</v>
      </c>
      <c r="C19" s="42" t="s">
        <v>39</v>
      </c>
      <c r="D19" s="42" t="s">
        <v>116</v>
      </c>
      <c r="E19" s="42" t="s">
        <v>90</v>
      </c>
      <c r="F19" s="42">
        <v>73.16</v>
      </c>
      <c r="G19" s="118">
        <v>5380.9179999999997</v>
      </c>
      <c r="H19" s="43">
        <v>2133.9</v>
      </c>
      <c r="I19" s="43">
        <v>474.7</v>
      </c>
      <c r="J19" s="43">
        <v>315.3</v>
      </c>
      <c r="K19" s="43">
        <v>325.10000000000002</v>
      </c>
      <c r="L19" s="43">
        <v>159.80000000000001</v>
      </c>
      <c r="M19" s="43">
        <v>150.69999999999999</v>
      </c>
      <c r="N19" s="4">
        <v>154.9</v>
      </c>
      <c r="O19" s="4">
        <v>161.69999999999999</v>
      </c>
      <c r="P19" s="4">
        <v>190.8</v>
      </c>
      <c r="Q19" s="4">
        <v>157.6</v>
      </c>
      <c r="R19" s="4">
        <v>161.30000000000001</v>
      </c>
      <c r="S19" s="4">
        <v>4224.5</v>
      </c>
      <c r="T19" s="7"/>
    </row>
    <row r="20" spans="1:20" x14ac:dyDescent="0.35">
      <c r="A20" s="42" t="s">
        <v>30</v>
      </c>
      <c r="B20" s="42">
        <v>2021</v>
      </c>
      <c r="C20" s="42" t="s">
        <v>40</v>
      </c>
      <c r="D20" s="42" t="s">
        <v>115</v>
      </c>
      <c r="E20" s="42" t="s">
        <v>90</v>
      </c>
      <c r="F20" s="42">
        <v>75.17</v>
      </c>
      <c r="G20" s="118">
        <v>5602.4201000000003</v>
      </c>
      <c r="H20" s="43">
        <v>2132.4</v>
      </c>
      <c r="I20" s="43">
        <v>492.40000000000003</v>
      </c>
      <c r="J20" s="43">
        <v>321.8</v>
      </c>
      <c r="K20" s="43">
        <v>330.8</v>
      </c>
      <c r="L20" s="43">
        <v>162.5</v>
      </c>
      <c r="M20" s="43">
        <v>157.1</v>
      </c>
      <c r="N20" s="4">
        <v>160.69999999999999</v>
      </c>
      <c r="O20" s="4">
        <v>167.2</v>
      </c>
      <c r="P20" s="4">
        <v>189.7</v>
      </c>
      <c r="Q20" s="4">
        <v>162.80000000000001</v>
      </c>
      <c r="R20" s="4">
        <v>163.19999999999999</v>
      </c>
      <c r="S20" s="4">
        <v>4277.4000000000005</v>
      </c>
      <c r="T20" s="7"/>
    </row>
    <row r="21" spans="1:20" x14ac:dyDescent="0.35">
      <c r="A21" s="42" t="s">
        <v>33</v>
      </c>
      <c r="B21" s="42">
        <v>2021</v>
      </c>
      <c r="C21" s="42" t="s">
        <v>40</v>
      </c>
      <c r="D21" s="42" t="s">
        <v>115</v>
      </c>
      <c r="E21" s="42" t="s">
        <v>90</v>
      </c>
      <c r="F21" s="42">
        <v>75.17</v>
      </c>
      <c r="G21" s="118">
        <v>5602.4201000000003</v>
      </c>
      <c r="H21" s="43">
        <v>2171.8000000000002</v>
      </c>
      <c r="I21" s="43">
        <v>455.3</v>
      </c>
      <c r="J21" s="43">
        <v>312.2</v>
      </c>
      <c r="K21" s="43">
        <v>321.10000000000002</v>
      </c>
      <c r="L21" s="43">
        <v>157.69999999999999</v>
      </c>
      <c r="M21" s="43">
        <v>149.5</v>
      </c>
      <c r="N21" s="4">
        <v>151.19999999999999</v>
      </c>
      <c r="O21" s="4">
        <v>160.30000000000001</v>
      </c>
      <c r="P21" s="4">
        <v>195.5</v>
      </c>
      <c r="Q21" s="4">
        <v>155</v>
      </c>
      <c r="R21" s="4">
        <v>161.80000000000001</v>
      </c>
      <c r="S21" s="4">
        <v>4229.6000000000004</v>
      </c>
      <c r="T21" s="7"/>
    </row>
    <row r="22" spans="1:20" x14ac:dyDescent="0.35">
      <c r="A22" s="42" t="s">
        <v>34</v>
      </c>
      <c r="B22" s="42">
        <v>2021</v>
      </c>
      <c r="C22" s="42" t="s">
        <v>40</v>
      </c>
      <c r="D22" s="42" t="s">
        <v>115</v>
      </c>
      <c r="E22" s="42" t="s">
        <v>90</v>
      </c>
      <c r="F22" s="42">
        <v>75.17</v>
      </c>
      <c r="G22" s="118">
        <v>5602.4201000000003</v>
      </c>
      <c r="H22" s="43">
        <v>2147</v>
      </c>
      <c r="I22" s="43">
        <v>477.29999999999995</v>
      </c>
      <c r="J22" s="43">
        <v>317.3</v>
      </c>
      <c r="K22" s="43">
        <v>327.10000000000002</v>
      </c>
      <c r="L22" s="43">
        <v>160.69999999999999</v>
      </c>
      <c r="M22" s="43">
        <v>153.1</v>
      </c>
      <c r="N22" s="4">
        <v>155.30000000000001</v>
      </c>
      <c r="O22" s="4">
        <v>163.19999999999999</v>
      </c>
      <c r="P22" s="4">
        <v>191.2</v>
      </c>
      <c r="Q22" s="4">
        <v>159</v>
      </c>
      <c r="R22" s="4">
        <v>162.5</v>
      </c>
      <c r="S22" s="4">
        <v>4251.2</v>
      </c>
      <c r="T22" s="7"/>
    </row>
    <row r="23" spans="1:20" x14ac:dyDescent="0.35">
      <c r="A23" s="42" t="s">
        <v>30</v>
      </c>
      <c r="B23" s="42">
        <v>2021</v>
      </c>
      <c r="C23" s="42" t="s">
        <v>41</v>
      </c>
      <c r="D23" s="42" t="s">
        <v>109</v>
      </c>
      <c r="E23" s="42" t="s">
        <v>90</v>
      </c>
      <c r="F23" s="42">
        <v>70.75</v>
      </c>
      <c r="G23" s="118">
        <v>5247.5275000000001</v>
      </c>
      <c r="H23" s="43">
        <v>2130.8000000000002</v>
      </c>
      <c r="I23" s="43">
        <v>495.90000000000003</v>
      </c>
      <c r="J23" s="43">
        <v>323</v>
      </c>
      <c r="K23" s="43">
        <v>331.4</v>
      </c>
      <c r="L23" s="43">
        <v>163.1</v>
      </c>
      <c r="M23" s="43">
        <v>157.69999999999999</v>
      </c>
      <c r="N23" s="4">
        <v>161.1</v>
      </c>
      <c r="O23" s="4">
        <v>167.5</v>
      </c>
      <c r="P23" s="4">
        <v>190.2</v>
      </c>
      <c r="Q23" s="4">
        <v>163.30000000000001</v>
      </c>
      <c r="R23" s="4">
        <v>163.6</v>
      </c>
      <c r="S23" s="4">
        <v>4284</v>
      </c>
      <c r="T23" s="7"/>
    </row>
    <row r="24" spans="1:20" x14ac:dyDescent="0.35">
      <c r="A24" s="42" t="s">
        <v>33</v>
      </c>
      <c r="B24" s="42">
        <v>2021</v>
      </c>
      <c r="C24" s="42" t="s">
        <v>41</v>
      </c>
      <c r="D24" s="42" t="s">
        <v>109</v>
      </c>
      <c r="E24" s="42" t="s">
        <v>90</v>
      </c>
      <c r="F24" s="42">
        <v>70.75</v>
      </c>
      <c r="G24" s="118">
        <v>5247.5275000000001</v>
      </c>
      <c r="H24" s="43">
        <v>2157.9</v>
      </c>
      <c r="I24" s="43">
        <v>460.7</v>
      </c>
      <c r="J24" s="43">
        <v>315.29999999999995</v>
      </c>
      <c r="K24" s="43">
        <v>322.39999999999998</v>
      </c>
      <c r="L24" s="43">
        <v>160.69999999999999</v>
      </c>
      <c r="M24" s="43">
        <v>150.4</v>
      </c>
      <c r="N24" s="4">
        <v>153.69999999999999</v>
      </c>
      <c r="O24" s="4">
        <v>160.4</v>
      </c>
      <c r="P24" s="4">
        <v>196.5</v>
      </c>
      <c r="Q24" s="4">
        <v>156</v>
      </c>
      <c r="R24" s="4">
        <v>162.30000000000001</v>
      </c>
      <c r="S24" s="4">
        <v>4234</v>
      </c>
      <c r="T24" s="7"/>
    </row>
    <row r="25" spans="1:20" x14ac:dyDescent="0.35">
      <c r="A25" s="42" t="s">
        <v>34</v>
      </c>
      <c r="B25" s="42">
        <v>2021</v>
      </c>
      <c r="C25" s="42" t="s">
        <v>41</v>
      </c>
      <c r="D25" s="42" t="s">
        <v>109</v>
      </c>
      <c r="E25" s="42" t="s">
        <v>90</v>
      </c>
      <c r="F25" s="42">
        <v>70.75</v>
      </c>
      <c r="G25" s="118">
        <v>5247.5275000000001</v>
      </c>
      <c r="H25" s="43">
        <v>2142</v>
      </c>
      <c r="I25" s="43">
        <v>483</v>
      </c>
      <c r="J25" s="43">
        <v>319.60000000000002</v>
      </c>
      <c r="K25" s="43">
        <v>328.4</v>
      </c>
      <c r="L25" s="43">
        <v>162.6</v>
      </c>
      <c r="M25" s="43">
        <v>154</v>
      </c>
      <c r="N25" s="4">
        <v>157.6</v>
      </c>
      <c r="O25" s="4">
        <v>163.80000000000001</v>
      </c>
      <c r="P25" s="4">
        <v>192.1</v>
      </c>
      <c r="Q25" s="4">
        <v>160</v>
      </c>
      <c r="R25" s="4">
        <v>163.19999999999999</v>
      </c>
      <c r="S25" s="4">
        <v>4263.1000000000004</v>
      </c>
      <c r="T25" s="7"/>
    </row>
    <row r="26" spans="1:20" x14ac:dyDescent="0.35">
      <c r="A26" s="42" t="s">
        <v>30</v>
      </c>
      <c r="B26" s="42">
        <v>2021</v>
      </c>
      <c r="C26" s="42" t="s">
        <v>42</v>
      </c>
      <c r="D26" s="42" t="s">
        <v>123</v>
      </c>
      <c r="E26" s="42" t="s">
        <v>90</v>
      </c>
      <c r="F26" s="42">
        <v>74.489999999999995</v>
      </c>
      <c r="G26" s="118">
        <v>5478.7394999999997</v>
      </c>
      <c r="H26" s="43">
        <v>2133.6</v>
      </c>
      <c r="I26" s="43">
        <v>498.4</v>
      </c>
      <c r="J26" s="43">
        <v>323.39999999999998</v>
      </c>
      <c r="K26" s="43">
        <v>332.1</v>
      </c>
      <c r="L26" s="43">
        <v>163.69999999999999</v>
      </c>
      <c r="M26" s="43">
        <v>157.80000000000001</v>
      </c>
      <c r="N26" s="4">
        <v>162.69999999999999</v>
      </c>
      <c r="O26" s="4">
        <v>168.5</v>
      </c>
      <c r="P26" s="4">
        <v>190.5</v>
      </c>
      <c r="Q26" s="4">
        <v>163.80000000000001</v>
      </c>
      <c r="R26" s="4">
        <v>164</v>
      </c>
      <c r="S26" s="4">
        <v>4294.5</v>
      </c>
      <c r="T26" s="7"/>
    </row>
    <row r="27" spans="1:20" x14ac:dyDescent="0.35">
      <c r="A27" s="42" t="s">
        <v>33</v>
      </c>
      <c r="B27" s="42">
        <v>2021</v>
      </c>
      <c r="C27" s="42" t="s">
        <v>42</v>
      </c>
      <c r="D27" s="42" t="s">
        <v>123</v>
      </c>
      <c r="E27" s="42" t="s">
        <v>90</v>
      </c>
      <c r="F27" s="42">
        <v>74.489999999999995</v>
      </c>
      <c r="G27" s="118">
        <v>5478.7394999999997</v>
      </c>
      <c r="H27" s="43">
        <v>2157.9</v>
      </c>
      <c r="I27" s="43">
        <v>460.79999999999995</v>
      </c>
      <c r="J27" s="43">
        <v>315.39999999999998</v>
      </c>
      <c r="K27" s="43">
        <v>322.39999999999998</v>
      </c>
      <c r="L27" s="43">
        <v>160.80000000000001</v>
      </c>
      <c r="M27" s="43">
        <v>150.5</v>
      </c>
      <c r="N27" s="4">
        <v>153.9</v>
      </c>
      <c r="O27" s="4">
        <v>160.30000000000001</v>
      </c>
      <c r="P27" s="4">
        <v>196.5</v>
      </c>
      <c r="Q27" s="4">
        <v>156</v>
      </c>
      <c r="R27" s="4">
        <v>162.30000000000001</v>
      </c>
      <c r="S27" s="4">
        <v>4234.5</v>
      </c>
      <c r="T27" s="7"/>
    </row>
    <row r="28" spans="1:20" x14ac:dyDescent="0.35">
      <c r="A28" s="42" t="s">
        <v>34</v>
      </c>
      <c r="B28" s="42">
        <v>2021</v>
      </c>
      <c r="C28" s="42" t="s">
        <v>42</v>
      </c>
      <c r="D28" s="42" t="s">
        <v>123</v>
      </c>
      <c r="E28" s="42" t="s">
        <v>90</v>
      </c>
      <c r="F28" s="42">
        <v>74.489999999999995</v>
      </c>
      <c r="G28" s="118">
        <v>5478.7394999999997</v>
      </c>
      <c r="H28" s="43">
        <v>2142</v>
      </c>
      <c r="I28" s="43">
        <v>483.2</v>
      </c>
      <c r="J28" s="43">
        <v>319.60000000000002</v>
      </c>
      <c r="K28" s="43">
        <v>328.4</v>
      </c>
      <c r="L28" s="43">
        <v>162.6</v>
      </c>
      <c r="M28" s="43">
        <v>154</v>
      </c>
      <c r="N28" s="4">
        <v>157.69999999999999</v>
      </c>
      <c r="O28" s="4">
        <v>163.69999999999999</v>
      </c>
      <c r="P28" s="4">
        <v>192.1</v>
      </c>
      <c r="Q28" s="4">
        <v>160</v>
      </c>
      <c r="R28" s="4">
        <v>163.19999999999999</v>
      </c>
      <c r="S28" s="4">
        <v>4263.2999999999993</v>
      </c>
      <c r="T28" s="7"/>
    </row>
    <row r="29" spans="1:20" x14ac:dyDescent="0.35">
      <c r="A29" s="42" t="s">
        <v>30</v>
      </c>
      <c r="B29" s="42">
        <v>2021</v>
      </c>
      <c r="C29" s="42" t="s">
        <v>43</v>
      </c>
      <c r="D29" s="42" t="s">
        <v>122</v>
      </c>
      <c r="E29" s="42" t="s">
        <v>90</v>
      </c>
      <c r="F29" s="42">
        <v>83.54</v>
      </c>
      <c r="G29" s="118">
        <v>6257.9814000000006</v>
      </c>
      <c r="H29" s="43">
        <v>2164.1999999999998</v>
      </c>
      <c r="I29" s="43">
        <v>502.00000000000006</v>
      </c>
      <c r="J29" s="43">
        <v>325.60000000000002</v>
      </c>
      <c r="K29" s="43">
        <v>333.6</v>
      </c>
      <c r="L29" s="43">
        <v>165.5</v>
      </c>
      <c r="M29" s="43">
        <v>159.5</v>
      </c>
      <c r="N29" s="4">
        <v>163.19999999999999</v>
      </c>
      <c r="O29" s="4">
        <v>169</v>
      </c>
      <c r="P29" s="4">
        <v>191.2</v>
      </c>
      <c r="Q29" s="4">
        <v>164.7</v>
      </c>
      <c r="R29" s="4">
        <v>166.3</v>
      </c>
      <c r="S29" s="4">
        <v>4338.4999999999991</v>
      </c>
      <c r="T29" s="7"/>
    </row>
    <row r="30" spans="1:20" x14ac:dyDescent="0.35">
      <c r="A30" s="42" t="s">
        <v>33</v>
      </c>
      <c r="B30" s="42">
        <v>2021</v>
      </c>
      <c r="C30" s="42" t="s">
        <v>43</v>
      </c>
      <c r="D30" s="42" t="s">
        <v>122</v>
      </c>
      <c r="E30" s="42" t="s">
        <v>90</v>
      </c>
      <c r="F30" s="42">
        <v>83.54</v>
      </c>
      <c r="G30" s="118">
        <v>6257.9814000000006</v>
      </c>
      <c r="H30" s="43">
        <v>2198.4000000000005</v>
      </c>
      <c r="I30" s="43">
        <v>463.50000000000006</v>
      </c>
      <c r="J30" s="43">
        <v>317.89999999999998</v>
      </c>
      <c r="K30" s="43">
        <v>323.8</v>
      </c>
      <c r="L30" s="43">
        <v>162.19999999999999</v>
      </c>
      <c r="M30" s="43">
        <v>152.19999999999999</v>
      </c>
      <c r="N30" s="4">
        <v>155.1</v>
      </c>
      <c r="O30" s="4">
        <v>160.30000000000001</v>
      </c>
      <c r="P30" s="4">
        <v>197</v>
      </c>
      <c r="Q30" s="4">
        <v>157</v>
      </c>
      <c r="R30" s="4">
        <v>164.6</v>
      </c>
      <c r="S30" s="4">
        <v>4287.4000000000005</v>
      </c>
      <c r="T30" s="7"/>
    </row>
    <row r="31" spans="1:20" x14ac:dyDescent="0.35">
      <c r="A31" s="42" t="s">
        <v>34</v>
      </c>
      <c r="B31" s="42">
        <v>2021</v>
      </c>
      <c r="C31" s="42" t="s">
        <v>43</v>
      </c>
      <c r="D31" s="42" t="s">
        <v>122</v>
      </c>
      <c r="E31" s="42" t="s">
        <v>90</v>
      </c>
      <c r="F31" s="42">
        <v>83.54</v>
      </c>
      <c r="G31" s="118">
        <v>6257.9814000000006</v>
      </c>
      <c r="H31" s="43">
        <v>2175.5</v>
      </c>
      <c r="I31" s="43">
        <v>486.3</v>
      </c>
      <c r="J31" s="43">
        <v>322</v>
      </c>
      <c r="K31" s="43">
        <v>329.9</v>
      </c>
      <c r="L31" s="43">
        <v>164.2</v>
      </c>
      <c r="M31" s="43">
        <v>155.69999999999999</v>
      </c>
      <c r="N31" s="4">
        <v>158.6</v>
      </c>
      <c r="O31" s="4">
        <v>163.9</v>
      </c>
      <c r="P31" s="4">
        <v>192.7</v>
      </c>
      <c r="Q31" s="4">
        <v>161</v>
      </c>
      <c r="R31" s="4">
        <v>165.5</v>
      </c>
      <c r="S31" s="4">
        <v>4309.8</v>
      </c>
      <c r="T31" s="7"/>
    </row>
    <row r="32" spans="1:20" x14ac:dyDescent="0.35">
      <c r="A32" s="42" t="s">
        <v>30</v>
      </c>
      <c r="B32" s="42">
        <v>2021</v>
      </c>
      <c r="C32" s="42" t="s">
        <v>45</v>
      </c>
      <c r="D32" s="42" t="s">
        <v>121</v>
      </c>
      <c r="E32" s="42" t="s">
        <v>90</v>
      </c>
      <c r="F32" s="42">
        <v>81.05</v>
      </c>
      <c r="G32" s="118">
        <v>6035.7934999999998</v>
      </c>
      <c r="H32" s="43">
        <v>2182</v>
      </c>
      <c r="I32" s="43">
        <v>506.2</v>
      </c>
      <c r="J32" s="43">
        <v>327.10000000000002</v>
      </c>
      <c r="K32" s="43">
        <v>335.8</v>
      </c>
      <c r="L32" s="43">
        <v>165.3</v>
      </c>
      <c r="M32" s="43">
        <v>158.9</v>
      </c>
      <c r="N32" s="4">
        <v>163.80000000000001</v>
      </c>
      <c r="O32" s="4">
        <v>169.3</v>
      </c>
      <c r="P32" s="4">
        <v>191.4</v>
      </c>
      <c r="Q32" s="4">
        <v>165.2</v>
      </c>
      <c r="R32" s="4">
        <v>167.6</v>
      </c>
      <c r="S32" s="4">
        <v>4365</v>
      </c>
      <c r="T32" s="7"/>
    </row>
    <row r="33" spans="1:20" x14ac:dyDescent="0.35">
      <c r="A33" s="42" t="s">
        <v>33</v>
      </c>
      <c r="B33" s="42">
        <v>2021</v>
      </c>
      <c r="C33" s="42" t="s">
        <v>45</v>
      </c>
      <c r="D33" s="42" t="s">
        <v>121</v>
      </c>
      <c r="E33" s="42" t="s">
        <v>90</v>
      </c>
      <c r="F33" s="42">
        <v>81.05</v>
      </c>
      <c r="G33" s="118">
        <v>6035.7934999999998</v>
      </c>
      <c r="H33" s="43">
        <v>2217.8999999999996</v>
      </c>
      <c r="I33" s="43">
        <v>467.3</v>
      </c>
      <c r="J33" s="43">
        <v>319.39999999999998</v>
      </c>
      <c r="K33" s="43">
        <v>326</v>
      </c>
      <c r="L33" s="43">
        <v>161.6</v>
      </c>
      <c r="M33" s="43">
        <v>151.19999999999999</v>
      </c>
      <c r="N33" s="4">
        <v>156.69999999999999</v>
      </c>
      <c r="O33" s="4">
        <v>160.80000000000001</v>
      </c>
      <c r="P33" s="4">
        <v>197</v>
      </c>
      <c r="Q33" s="4">
        <v>157.30000000000001</v>
      </c>
      <c r="R33" s="4">
        <v>165.6</v>
      </c>
      <c r="S33" s="4">
        <v>4315.2</v>
      </c>
      <c r="T33" s="7"/>
    </row>
    <row r="34" spans="1:20" x14ac:dyDescent="0.35">
      <c r="A34" s="42" t="s">
        <v>34</v>
      </c>
      <c r="B34" s="42">
        <v>2021</v>
      </c>
      <c r="C34" s="42" t="s">
        <v>45</v>
      </c>
      <c r="D34" s="42" t="s">
        <v>121</v>
      </c>
      <c r="E34" s="42" t="s">
        <v>90</v>
      </c>
      <c r="F34" s="42">
        <v>81.05</v>
      </c>
      <c r="G34" s="118">
        <v>6035.7934999999998</v>
      </c>
      <c r="H34" s="43">
        <v>2194.1</v>
      </c>
      <c r="I34" s="43">
        <v>490.40000000000003</v>
      </c>
      <c r="J34" s="43">
        <v>323.5</v>
      </c>
      <c r="K34" s="43">
        <v>332.1</v>
      </c>
      <c r="L34" s="43">
        <v>163.9</v>
      </c>
      <c r="M34" s="43">
        <v>154.80000000000001</v>
      </c>
      <c r="N34" s="4">
        <v>159.80000000000001</v>
      </c>
      <c r="O34" s="4">
        <v>164.3</v>
      </c>
      <c r="P34" s="4">
        <v>192.9</v>
      </c>
      <c r="Q34" s="4">
        <v>161.4</v>
      </c>
      <c r="R34" s="4">
        <v>166.7</v>
      </c>
      <c r="S34" s="4">
        <v>4337.2</v>
      </c>
      <c r="T34" s="7"/>
    </row>
    <row r="35" spans="1:20" x14ac:dyDescent="0.35">
      <c r="A35" s="42" t="s">
        <v>30</v>
      </c>
      <c r="B35" s="42">
        <v>2021</v>
      </c>
      <c r="C35" s="42" t="s">
        <v>46</v>
      </c>
      <c r="D35" s="42" t="s">
        <v>110</v>
      </c>
      <c r="E35" s="42" t="s">
        <v>90</v>
      </c>
      <c r="F35" s="42">
        <v>74.17</v>
      </c>
      <c r="G35" s="118">
        <v>5594.6431000000002</v>
      </c>
      <c r="H35" s="43">
        <v>2168.1999999999998</v>
      </c>
      <c r="I35" s="43">
        <v>510.3</v>
      </c>
      <c r="J35" s="43">
        <v>327.3</v>
      </c>
      <c r="K35" s="43">
        <v>336.8</v>
      </c>
      <c r="L35" s="43">
        <v>165.6</v>
      </c>
      <c r="M35" s="43">
        <v>160.1</v>
      </c>
      <c r="N35" s="4">
        <v>164.5</v>
      </c>
      <c r="O35" s="4">
        <v>169.7</v>
      </c>
      <c r="P35" s="4">
        <v>190.8</v>
      </c>
      <c r="Q35" s="4">
        <v>166</v>
      </c>
      <c r="R35" s="4">
        <v>167</v>
      </c>
      <c r="S35" s="4">
        <v>4359.3</v>
      </c>
      <c r="T35" s="7"/>
    </row>
    <row r="36" spans="1:20" x14ac:dyDescent="0.35">
      <c r="A36" s="42" t="s">
        <v>33</v>
      </c>
      <c r="B36" s="42">
        <v>2021</v>
      </c>
      <c r="C36" s="42" t="s">
        <v>46</v>
      </c>
      <c r="D36" s="42" t="s">
        <v>110</v>
      </c>
      <c r="E36" s="42" t="s">
        <v>90</v>
      </c>
      <c r="F36" s="42">
        <v>74.17</v>
      </c>
      <c r="G36" s="118">
        <v>5594.6431000000002</v>
      </c>
      <c r="H36" s="43">
        <v>2206.3000000000002</v>
      </c>
      <c r="I36" s="43">
        <v>470.7</v>
      </c>
      <c r="J36" s="43">
        <v>319.39999999999998</v>
      </c>
      <c r="K36" s="43">
        <v>327.5</v>
      </c>
      <c r="L36" s="43">
        <v>161.69999999999999</v>
      </c>
      <c r="M36" s="43">
        <v>151.80000000000001</v>
      </c>
      <c r="N36" s="4">
        <v>157.6</v>
      </c>
      <c r="O36" s="4">
        <v>160.6</v>
      </c>
      <c r="P36" s="4">
        <v>196.8</v>
      </c>
      <c r="Q36" s="4">
        <v>157.80000000000001</v>
      </c>
      <c r="R36" s="4">
        <v>165.2</v>
      </c>
      <c r="S36" s="4">
        <v>4310.2</v>
      </c>
      <c r="T36" s="7"/>
    </row>
    <row r="37" spans="1:20" x14ac:dyDescent="0.35">
      <c r="A37" s="42" t="s">
        <v>34</v>
      </c>
      <c r="B37" s="42">
        <v>2021</v>
      </c>
      <c r="C37" s="42" t="s">
        <v>46</v>
      </c>
      <c r="D37" s="42" t="s">
        <v>110</v>
      </c>
      <c r="E37" s="42" t="s">
        <v>90</v>
      </c>
      <c r="F37" s="42">
        <v>74.17</v>
      </c>
      <c r="G37" s="118">
        <v>5594.6431000000002</v>
      </c>
      <c r="H37" s="43">
        <v>2180.9</v>
      </c>
      <c r="I37" s="43">
        <v>494.2</v>
      </c>
      <c r="J37" s="43">
        <v>323.60000000000002</v>
      </c>
      <c r="K37" s="43">
        <v>333.2</v>
      </c>
      <c r="L37" s="43">
        <v>164.1</v>
      </c>
      <c r="M37" s="43">
        <v>155.69999999999999</v>
      </c>
      <c r="N37" s="4">
        <v>160.6</v>
      </c>
      <c r="O37" s="4">
        <v>164.4</v>
      </c>
      <c r="P37" s="4">
        <v>192.4</v>
      </c>
      <c r="Q37" s="4">
        <v>162</v>
      </c>
      <c r="R37" s="4">
        <v>166.2</v>
      </c>
      <c r="S37" s="4">
        <v>4331.0999999999995</v>
      </c>
      <c r="T37" s="7"/>
    </row>
    <row r="38" spans="1:20" x14ac:dyDescent="0.35">
      <c r="A38" s="42" t="s">
        <v>30</v>
      </c>
      <c r="B38" s="42">
        <v>2022</v>
      </c>
      <c r="C38" s="42" t="s">
        <v>31</v>
      </c>
      <c r="D38" s="42" t="s">
        <v>114</v>
      </c>
      <c r="E38" s="42" t="s">
        <v>90</v>
      </c>
      <c r="F38" s="42">
        <v>86.51</v>
      </c>
      <c r="G38" s="118">
        <v>6440.6695000000009</v>
      </c>
      <c r="H38" s="43">
        <v>2153</v>
      </c>
      <c r="I38" s="43">
        <v>515.20000000000005</v>
      </c>
      <c r="J38" s="43">
        <v>329.4</v>
      </c>
      <c r="K38" s="43">
        <v>337.9</v>
      </c>
      <c r="L38" s="43">
        <v>165.8</v>
      </c>
      <c r="M38" s="43">
        <v>160.80000000000001</v>
      </c>
      <c r="N38" s="4">
        <v>164.9</v>
      </c>
      <c r="O38" s="4">
        <v>169.9</v>
      </c>
      <c r="P38" s="4">
        <v>190.7</v>
      </c>
      <c r="Q38" s="4">
        <v>166.6</v>
      </c>
      <c r="R38" s="4">
        <v>166.4</v>
      </c>
      <c r="S38" s="4">
        <v>4354.2000000000007</v>
      </c>
      <c r="T38" s="7"/>
    </row>
    <row r="39" spans="1:20" x14ac:dyDescent="0.35">
      <c r="A39" s="42" t="s">
        <v>33</v>
      </c>
      <c r="B39" s="42">
        <v>2022</v>
      </c>
      <c r="C39" s="42" t="s">
        <v>31</v>
      </c>
      <c r="D39" s="42" t="s">
        <v>114</v>
      </c>
      <c r="E39" s="42" t="s">
        <v>90</v>
      </c>
      <c r="F39" s="42">
        <v>86.51</v>
      </c>
      <c r="G39" s="118">
        <v>6440.6695000000009</v>
      </c>
      <c r="H39" s="43">
        <v>2186.6999999999998</v>
      </c>
      <c r="I39" s="43">
        <v>475.4</v>
      </c>
      <c r="J39" s="43">
        <v>321.3</v>
      </c>
      <c r="K39" s="43">
        <v>328.9</v>
      </c>
      <c r="L39" s="43">
        <v>161.6</v>
      </c>
      <c r="M39" s="43">
        <v>152.69999999999999</v>
      </c>
      <c r="N39" s="4">
        <v>158.4</v>
      </c>
      <c r="O39" s="4">
        <v>161</v>
      </c>
      <c r="P39" s="4">
        <v>196.4</v>
      </c>
      <c r="Q39" s="4">
        <v>158.6</v>
      </c>
      <c r="R39" s="4">
        <v>165</v>
      </c>
      <c r="S39" s="4">
        <v>4301</v>
      </c>
      <c r="T39" s="7"/>
    </row>
    <row r="40" spans="1:20" x14ac:dyDescent="0.35">
      <c r="A40" s="42" t="s">
        <v>34</v>
      </c>
      <c r="B40" s="42">
        <v>2022</v>
      </c>
      <c r="C40" s="42" t="s">
        <v>31</v>
      </c>
      <c r="D40" s="42" t="s">
        <v>114</v>
      </c>
      <c r="E40" s="42" t="s">
        <v>90</v>
      </c>
      <c r="F40" s="42">
        <v>86.51</v>
      </c>
      <c r="G40" s="118">
        <v>6440.6695000000009</v>
      </c>
      <c r="H40" s="43">
        <v>2164.1999999999998</v>
      </c>
      <c r="I40" s="43">
        <v>499.1</v>
      </c>
      <c r="J40" s="43">
        <v>325.60000000000002</v>
      </c>
      <c r="K40" s="43">
        <v>334.4</v>
      </c>
      <c r="L40" s="43">
        <v>164.2</v>
      </c>
      <c r="M40" s="43">
        <v>156.5</v>
      </c>
      <c r="N40" s="4">
        <v>161.19999999999999</v>
      </c>
      <c r="O40" s="4">
        <v>164.7</v>
      </c>
      <c r="P40" s="4">
        <v>192.2</v>
      </c>
      <c r="Q40" s="4">
        <v>162.69999999999999</v>
      </c>
      <c r="R40" s="4">
        <v>165.7</v>
      </c>
      <c r="S40" s="4">
        <v>4324.7999999999993</v>
      </c>
      <c r="T40" s="7"/>
    </row>
    <row r="41" spans="1:20" x14ac:dyDescent="0.35">
      <c r="A41" s="42" t="s">
        <v>30</v>
      </c>
      <c r="B41" s="42">
        <v>2022</v>
      </c>
      <c r="C41" s="42" t="s">
        <v>35</v>
      </c>
      <c r="D41" s="42" t="s">
        <v>112</v>
      </c>
      <c r="E41" s="42" t="s">
        <v>90</v>
      </c>
      <c r="F41" s="42">
        <v>97.13</v>
      </c>
      <c r="G41" s="118">
        <v>7280.8647999999994</v>
      </c>
      <c r="H41" s="43">
        <v>2150.4</v>
      </c>
      <c r="I41" s="43">
        <v>518.79999999999995</v>
      </c>
      <c r="J41" s="43">
        <v>331.2</v>
      </c>
      <c r="K41" s="43">
        <v>339.8</v>
      </c>
      <c r="L41" s="43">
        <v>167.4</v>
      </c>
      <c r="M41" s="43">
        <v>161.19999999999999</v>
      </c>
      <c r="N41" s="4">
        <v>165.5</v>
      </c>
      <c r="O41" s="4">
        <v>170.3</v>
      </c>
      <c r="P41" s="4">
        <v>191.5</v>
      </c>
      <c r="Q41" s="4">
        <v>167.3</v>
      </c>
      <c r="R41" s="4">
        <v>166.7</v>
      </c>
      <c r="S41" s="4">
        <v>4363.4000000000005</v>
      </c>
      <c r="T41" s="7"/>
    </row>
    <row r="42" spans="1:20" x14ac:dyDescent="0.35">
      <c r="A42" s="42" t="s">
        <v>33</v>
      </c>
      <c r="B42" s="42">
        <v>2022</v>
      </c>
      <c r="C42" s="42" t="s">
        <v>35</v>
      </c>
      <c r="D42" s="42" t="s">
        <v>112</v>
      </c>
      <c r="E42" s="42" t="s">
        <v>90</v>
      </c>
      <c r="F42" s="42">
        <v>97.13</v>
      </c>
      <c r="G42" s="118">
        <v>7280.8647999999994</v>
      </c>
      <c r="H42" s="43">
        <v>2183.5</v>
      </c>
      <c r="I42" s="43">
        <v>479.5</v>
      </c>
      <c r="J42" s="43">
        <v>322.89999999999998</v>
      </c>
      <c r="K42" s="43">
        <v>331.4</v>
      </c>
      <c r="L42" s="43">
        <v>163</v>
      </c>
      <c r="M42" s="43">
        <v>153.1</v>
      </c>
      <c r="N42" s="4">
        <v>159.5</v>
      </c>
      <c r="O42" s="4">
        <v>162</v>
      </c>
      <c r="P42" s="4">
        <v>196.5</v>
      </c>
      <c r="Q42" s="4">
        <v>159.4</v>
      </c>
      <c r="R42" s="4">
        <v>165.5</v>
      </c>
      <c r="S42" s="4">
        <v>4310.7999999999993</v>
      </c>
      <c r="T42" s="7"/>
    </row>
    <row r="43" spans="1:20" x14ac:dyDescent="0.35">
      <c r="A43" s="42" t="s">
        <v>34</v>
      </c>
      <c r="B43" s="42">
        <v>2022</v>
      </c>
      <c r="C43" s="42" t="s">
        <v>35</v>
      </c>
      <c r="D43" s="42" t="s">
        <v>112</v>
      </c>
      <c r="E43" s="42" t="s">
        <v>90</v>
      </c>
      <c r="F43" s="42">
        <v>97.13</v>
      </c>
      <c r="G43" s="118">
        <v>7280.8647999999994</v>
      </c>
      <c r="H43" s="43">
        <v>2161.2000000000003</v>
      </c>
      <c r="I43" s="43">
        <v>502.80000000000007</v>
      </c>
      <c r="J43" s="43">
        <v>327.3</v>
      </c>
      <c r="K43" s="43">
        <v>336.6</v>
      </c>
      <c r="L43" s="43">
        <v>165.7</v>
      </c>
      <c r="M43" s="43">
        <v>156.9</v>
      </c>
      <c r="N43" s="4">
        <v>162.1</v>
      </c>
      <c r="O43" s="4">
        <v>165.4</v>
      </c>
      <c r="P43" s="4">
        <v>192.8</v>
      </c>
      <c r="Q43" s="4">
        <v>163.5</v>
      </c>
      <c r="R43" s="4">
        <v>166.1</v>
      </c>
      <c r="S43" s="4">
        <v>4334.3</v>
      </c>
      <c r="T43" s="7"/>
    </row>
    <row r="44" spans="1:20" x14ac:dyDescent="0.35">
      <c r="A44" s="42" t="s">
        <v>30</v>
      </c>
      <c r="B44" s="42">
        <v>2022</v>
      </c>
      <c r="C44" s="42" t="s">
        <v>36</v>
      </c>
      <c r="D44" s="42" t="s">
        <v>118</v>
      </c>
      <c r="E44" s="42" t="s">
        <v>90</v>
      </c>
      <c r="F44" s="42">
        <v>117.25</v>
      </c>
      <c r="G44" s="118">
        <v>8936.7950000000001</v>
      </c>
      <c r="H44" s="43">
        <v>2179.1000000000004</v>
      </c>
      <c r="I44" s="43">
        <v>523.70000000000005</v>
      </c>
      <c r="J44" s="43">
        <v>331.8</v>
      </c>
      <c r="K44" s="43">
        <v>343.4</v>
      </c>
      <c r="L44" s="43">
        <v>168.9</v>
      </c>
      <c r="M44" s="43">
        <v>162</v>
      </c>
      <c r="N44" s="4">
        <v>166.6</v>
      </c>
      <c r="O44" s="4">
        <v>170.6</v>
      </c>
      <c r="P44" s="4">
        <v>192.3</v>
      </c>
      <c r="Q44" s="4">
        <v>168.3</v>
      </c>
      <c r="R44" s="4">
        <v>168.7</v>
      </c>
      <c r="S44" s="4">
        <v>4406.7000000000007</v>
      </c>
      <c r="T44" s="7"/>
    </row>
    <row r="45" spans="1:20" x14ac:dyDescent="0.35">
      <c r="A45" s="42" t="s">
        <v>33</v>
      </c>
      <c r="B45" s="42">
        <v>2022</v>
      </c>
      <c r="C45" s="42" t="s">
        <v>36</v>
      </c>
      <c r="D45" s="42" t="s">
        <v>118</v>
      </c>
      <c r="E45" s="42" t="s">
        <v>90</v>
      </c>
      <c r="F45" s="42">
        <v>117.25</v>
      </c>
      <c r="G45" s="118">
        <v>8936.7950000000001</v>
      </c>
      <c r="H45" s="43">
        <v>2196.3000000000002</v>
      </c>
      <c r="I45" s="43">
        <v>484.6</v>
      </c>
      <c r="J45" s="43">
        <v>323.89999999999998</v>
      </c>
      <c r="K45" s="43">
        <v>335</v>
      </c>
      <c r="L45" s="43">
        <v>164.5</v>
      </c>
      <c r="M45" s="43">
        <v>154.19999999999999</v>
      </c>
      <c r="N45" s="4">
        <v>160.80000000000001</v>
      </c>
      <c r="O45" s="4">
        <v>162.69999999999999</v>
      </c>
      <c r="P45" s="4">
        <v>197.5</v>
      </c>
      <c r="Q45" s="4">
        <v>160.6</v>
      </c>
      <c r="R45" s="4">
        <v>166.5</v>
      </c>
      <c r="S45" s="4">
        <v>4340.1000000000004</v>
      </c>
      <c r="T45" s="7"/>
    </row>
    <row r="46" spans="1:20" x14ac:dyDescent="0.35">
      <c r="A46" s="42" t="s">
        <v>34</v>
      </c>
      <c r="B46" s="42">
        <v>2022</v>
      </c>
      <c r="C46" s="42" t="s">
        <v>36</v>
      </c>
      <c r="D46" s="42" t="s">
        <v>118</v>
      </c>
      <c r="E46" s="42" t="s">
        <v>90</v>
      </c>
      <c r="F46" s="42">
        <v>117.25</v>
      </c>
      <c r="G46" s="118">
        <v>8936.7950000000001</v>
      </c>
      <c r="H46" s="43">
        <v>2184.2000000000003</v>
      </c>
      <c r="I46" s="43">
        <v>507.79999999999995</v>
      </c>
      <c r="J46" s="43">
        <v>328.1</v>
      </c>
      <c r="K46" s="43">
        <v>340.2</v>
      </c>
      <c r="L46" s="43">
        <v>167.2</v>
      </c>
      <c r="M46" s="43">
        <v>157.9</v>
      </c>
      <c r="N46" s="4">
        <v>163.30000000000001</v>
      </c>
      <c r="O46" s="4">
        <v>166</v>
      </c>
      <c r="P46" s="4">
        <v>193.7</v>
      </c>
      <c r="Q46" s="4">
        <v>164.6</v>
      </c>
      <c r="R46" s="4">
        <v>167.7</v>
      </c>
      <c r="S46" s="4">
        <v>4373</v>
      </c>
      <c r="T46" s="7"/>
    </row>
    <row r="47" spans="1:20" x14ac:dyDescent="0.35">
      <c r="A47" s="42" t="s">
        <v>30</v>
      </c>
      <c r="B47" s="42">
        <v>2022</v>
      </c>
      <c r="C47" s="42" t="s">
        <v>37</v>
      </c>
      <c r="D47" s="42" t="s">
        <v>108</v>
      </c>
      <c r="E47" s="42" t="s">
        <v>32</v>
      </c>
      <c r="F47" s="42">
        <v>104.58</v>
      </c>
      <c r="G47" s="118">
        <v>7967.9501999999993</v>
      </c>
      <c r="H47" s="43">
        <v>2206.6</v>
      </c>
      <c r="I47" s="43">
        <v>529.70000000000005</v>
      </c>
      <c r="J47" s="43">
        <v>334.7</v>
      </c>
      <c r="K47" s="43">
        <v>346</v>
      </c>
      <c r="L47" s="43">
        <v>173.3</v>
      </c>
      <c r="M47" s="43">
        <v>166.2</v>
      </c>
      <c r="N47" s="4">
        <v>167.2</v>
      </c>
      <c r="O47" s="4">
        <v>170.9</v>
      </c>
      <c r="P47" s="4">
        <v>192.8</v>
      </c>
      <c r="Q47" s="4">
        <v>170.2</v>
      </c>
      <c r="R47" s="4">
        <v>170.8</v>
      </c>
      <c r="S47" s="4">
        <v>4457.5999999999995</v>
      </c>
      <c r="T47" s="7"/>
    </row>
    <row r="48" spans="1:20" x14ac:dyDescent="0.35">
      <c r="A48" s="42" t="s">
        <v>33</v>
      </c>
      <c r="B48" s="42">
        <v>2022</v>
      </c>
      <c r="C48" s="42" t="s">
        <v>37</v>
      </c>
      <c r="D48" s="42" t="s">
        <v>108</v>
      </c>
      <c r="E48" s="42" t="s">
        <v>32</v>
      </c>
      <c r="F48" s="42">
        <v>104.58</v>
      </c>
      <c r="G48" s="118">
        <v>7967.9501999999993</v>
      </c>
      <c r="H48" s="43">
        <v>2230.4</v>
      </c>
      <c r="I48" s="43">
        <v>489.2</v>
      </c>
      <c r="J48" s="43">
        <v>326.8</v>
      </c>
      <c r="K48" s="43">
        <v>337.4</v>
      </c>
      <c r="L48" s="43">
        <v>170.5</v>
      </c>
      <c r="M48" s="43">
        <v>159.30000000000001</v>
      </c>
      <c r="N48" s="4">
        <v>162.19999999999999</v>
      </c>
      <c r="O48" s="4">
        <v>164</v>
      </c>
      <c r="P48" s="4">
        <v>197.1</v>
      </c>
      <c r="Q48" s="4">
        <v>163.1</v>
      </c>
      <c r="R48" s="4">
        <v>169.2</v>
      </c>
      <c r="S48" s="4">
        <v>4400.0000000000009</v>
      </c>
      <c r="T48" s="7"/>
    </row>
    <row r="49" spans="1:20" x14ac:dyDescent="0.35">
      <c r="A49" s="42" t="s">
        <v>34</v>
      </c>
      <c r="B49" s="42">
        <v>2022</v>
      </c>
      <c r="C49" s="42" t="s">
        <v>37</v>
      </c>
      <c r="D49" s="42" t="s">
        <v>108</v>
      </c>
      <c r="E49" s="42" t="s">
        <v>32</v>
      </c>
      <c r="F49" s="42">
        <v>104.58</v>
      </c>
      <c r="G49" s="118">
        <v>7967.9501999999993</v>
      </c>
      <c r="H49" s="43">
        <v>2214.3000000000002</v>
      </c>
      <c r="I49" s="43">
        <v>513.20000000000005</v>
      </c>
      <c r="J49" s="43">
        <v>331</v>
      </c>
      <c r="K49" s="43">
        <v>342.8</v>
      </c>
      <c r="L49" s="43">
        <v>172.2</v>
      </c>
      <c r="M49" s="43">
        <v>162.6</v>
      </c>
      <c r="N49" s="4">
        <v>164.4</v>
      </c>
      <c r="O49" s="4">
        <v>166.9</v>
      </c>
      <c r="P49" s="4">
        <v>193.9</v>
      </c>
      <c r="Q49" s="4">
        <v>166.8</v>
      </c>
      <c r="R49" s="4">
        <v>170.1</v>
      </c>
      <c r="S49" s="4">
        <v>4428.1000000000004</v>
      </c>
      <c r="T49" s="7"/>
    </row>
    <row r="50" spans="1:20" x14ac:dyDescent="0.35">
      <c r="A50" s="42" t="s">
        <v>30</v>
      </c>
      <c r="B50" s="42">
        <v>2022</v>
      </c>
      <c r="C50" s="42" t="s">
        <v>38</v>
      </c>
      <c r="D50" s="42" t="s">
        <v>120</v>
      </c>
      <c r="E50" s="42" t="s">
        <v>32</v>
      </c>
      <c r="F50" s="42">
        <v>113.34</v>
      </c>
      <c r="G50" s="118">
        <v>8761.1820000000007</v>
      </c>
      <c r="H50" s="43">
        <v>2226.8000000000002</v>
      </c>
      <c r="I50" s="43">
        <v>535.5</v>
      </c>
      <c r="J50" s="43">
        <v>336.4</v>
      </c>
      <c r="K50" s="43">
        <v>346.2</v>
      </c>
      <c r="L50" s="43">
        <v>175.3</v>
      </c>
      <c r="M50" s="43">
        <v>167.1</v>
      </c>
      <c r="N50" s="4">
        <v>167.6</v>
      </c>
      <c r="O50" s="4">
        <v>171.8</v>
      </c>
      <c r="P50" s="4">
        <v>192.9</v>
      </c>
      <c r="Q50" s="4">
        <v>170.9</v>
      </c>
      <c r="R50" s="4">
        <v>172.5</v>
      </c>
      <c r="S50" s="4">
        <v>4490.4999999999991</v>
      </c>
      <c r="T50" s="7"/>
    </row>
    <row r="51" spans="1:20" x14ac:dyDescent="0.35">
      <c r="A51" s="42" t="s">
        <v>33</v>
      </c>
      <c r="B51" s="42">
        <v>2022</v>
      </c>
      <c r="C51" s="42" t="s">
        <v>38</v>
      </c>
      <c r="D51" s="42" t="s">
        <v>120</v>
      </c>
      <c r="E51" s="42" t="s">
        <v>32</v>
      </c>
      <c r="F51" s="42">
        <v>113.34</v>
      </c>
      <c r="G51" s="118">
        <v>8761.1820000000007</v>
      </c>
      <c r="H51" s="43">
        <v>2262.2000000000003</v>
      </c>
      <c r="I51" s="43">
        <v>493.7</v>
      </c>
      <c r="J51" s="43">
        <v>328.6</v>
      </c>
      <c r="K51" s="43">
        <v>338.29999999999995</v>
      </c>
      <c r="L51" s="43">
        <v>173.5</v>
      </c>
      <c r="M51" s="43">
        <v>159.4</v>
      </c>
      <c r="N51" s="4">
        <v>163.19999999999999</v>
      </c>
      <c r="O51" s="4">
        <v>165.2</v>
      </c>
      <c r="P51" s="4">
        <v>197.5</v>
      </c>
      <c r="Q51" s="4">
        <v>163.80000000000001</v>
      </c>
      <c r="R51" s="4">
        <v>170.8</v>
      </c>
      <c r="S51" s="4">
        <v>4445.4000000000005</v>
      </c>
      <c r="T51" s="7"/>
    </row>
    <row r="52" spans="1:20" x14ac:dyDescent="0.35">
      <c r="A52" s="42" t="s">
        <v>34</v>
      </c>
      <c r="B52" s="42">
        <v>2022</v>
      </c>
      <c r="C52" s="42" t="s">
        <v>38</v>
      </c>
      <c r="D52" s="42" t="s">
        <v>120</v>
      </c>
      <c r="E52" s="42" t="s">
        <v>32</v>
      </c>
      <c r="F52" s="42">
        <v>113.34</v>
      </c>
      <c r="G52" s="118">
        <v>8761.1820000000007</v>
      </c>
      <c r="H52" s="43">
        <v>2238.9000000000005</v>
      </c>
      <c r="I52" s="43">
        <v>518.6</v>
      </c>
      <c r="J52" s="43">
        <v>332.7</v>
      </c>
      <c r="K52" s="43">
        <v>343.20000000000005</v>
      </c>
      <c r="L52" s="43">
        <v>174.6</v>
      </c>
      <c r="M52" s="43">
        <v>163</v>
      </c>
      <c r="N52" s="4">
        <v>165.1</v>
      </c>
      <c r="O52" s="4">
        <v>167.9</v>
      </c>
      <c r="P52" s="4">
        <v>194.1</v>
      </c>
      <c r="Q52" s="4">
        <v>167.5</v>
      </c>
      <c r="R52" s="4">
        <v>171.7</v>
      </c>
      <c r="S52" s="4">
        <v>4465.6000000000004</v>
      </c>
      <c r="T52" s="7"/>
    </row>
    <row r="53" spans="1:20" x14ac:dyDescent="0.35">
      <c r="A53" s="42" t="s">
        <v>30</v>
      </c>
      <c r="B53" s="42">
        <v>2022</v>
      </c>
      <c r="C53" s="42" t="s">
        <v>39</v>
      </c>
      <c r="D53" s="42" t="s">
        <v>65</v>
      </c>
      <c r="E53" s="42" t="s">
        <v>32</v>
      </c>
      <c r="F53" s="42">
        <v>122.71</v>
      </c>
      <c r="G53" s="118">
        <v>9573.8341999999993</v>
      </c>
      <c r="H53" s="43">
        <v>2248.3000000000002</v>
      </c>
      <c r="I53" s="43">
        <v>539.79999999999995</v>
      </c>
      <c r="J53" s="43">
        <v>337.1</v>
      </c>
      <c r="K53" s="43">
        <v>347.7</v>
      </c>
      <c r="L53" s="43">
        <v>176.7</v>
      </c>
      <c r="M53" s="43">
        <v>165.5</v>
      </c>
      <c r="N53" s="4">
        <v>168</v>
      </c>
      <c r="O53" s="4">
        <v>172.6</v>
      </c>
      <c r="P53" s="4">
        <v>192.9</v>
      </c>
      <c r="Q53" s="4">
        <v>171</v>
      </c>
      <c r="R53" s="4">
        <v>173.6</v>
      </c>
      <c r="S53" s="4">
        <v>4519.5999999999995</v>
      </c>
      <c r="T53" s="7"/>
    </row>
    <row r="54" spans="1:20" x14ac:dyDescent="0.35">
      <c r="A54" s="42" t="s">
        <v>33</v>
      </c>
      <c r="B54" s="42">
        <v>2022</v>
      </c>
      <c r="C54" s="42" t="s">
        <v>39</v>
      </c>
      <c r="D54" s="42" t="s">
        <v>65</v>
      </c>
      <c r="E54" s="42" t="s">
        <v>32</v>
      </c>
      <c r="F54" s="42">
        <v>122.71</v>
      </c>
      <c r="G54" s="118">
        <v>9573.8341999999993</v>
      </c>
      <c r="H54" s="43">
        <v>2287.5</v>
      </c>
      <c r="I54" s="43">
        <v>498.4</v>
      </c>
      <c r="J54" s="43">
        <v>328.9</v>
      </c>
      <c r="K54" s="43">
        <v>340.1</v>
      </c>
      <c r="L54" s="43">
        <v>174.9</v>
      </c>
      <c r="M54" s="43">
        <v>157.19999999999999</v>
      </c>
      <c r="N54" s="4">
        <v>164.1</v>
      </c>
      <c r="O54" s="4">
        <v>166.5</v>
      </c>
      <c r="P54" s="4">
        <v>198.3</v>
      </c>
      <c r="Q54" s="4">
        <v>163.80000000000001</v>
      </c>
      <c r="R54" s="4">
        <v>171.4</v>
      </c>
      <c r="S54" s="4">
        <v>4479.7000000000007</v>
      </c>
      <c r="T54" s="7"/>
    </row>
    <row r="55" spans="1:20" x14ac:dyDescent="0.35">
      <c r="A55" s="42" t="s">
        <v>34</v>
      </c>
      <c r="B55" s="42">
        <v>2022</v>
      </c>
      <c r="C55" s="42" t="s">
        <v>39</v>
      </c>
      <c r="D55" s="42" t="s">
        <v>65</v>
      </c>
      <c r="E55" s="42" t="s">
        <v>32</v>
      </c>
      <c r="F55" s="42">
        <v>122.71</v>
      </c>
      <c r="G55" s="118">
        <v>9573.8341999999993</v>
      </c>
      <c r="H55" s="43">
        <v>2261.9</v>
      </c>
      <c r="I55" s="43">
        <v>523</v>
      </c>
      <c r="J55" s="43">
        <v>333.20000000000005</v>
      </c>
      <c r="K55" s="43">
        <v>344.8</v>
      </c>
      <c r="L55" s="43">
        <v>176</v>
      </c>
      <c r="M55" s="43">
        <v>161.1</v>
      </c>
      <c r="N55" s="4">
        <v>165.8</v>
      </c>
      <c r="O55" s="4">
        <v>169</v>
      </c>
      <c r="P55" s="4">
        <v>194.3</v>
      </c>
      <c r="Q55" s="4">
        <v>167.5</v>
      </c>
      <c r="R55" s="4">
        <v>172.6</v>
      </c>
      <c r="S55" s="4">
        <v>4496.6000000000013</v>
      </c>
      <c r="T55" s="7"/>
    </row>
    <row r="56" spans="1:20" x14ac:dyDescent="0.35">
      <c r="A56" s="42" t="s">
        <v>30</v>
      </c>
      <c r="B56" s="42">
        <v>2022</v>
      </c>
      <c r="C56" s="42" t="s">
        <v>40</v>
      </c>
      <c r="D56" s="42" t="s">
        <v>64</v>
      </c>
      <c r="E56" s="42" t="s">
        <v>32</v>
      </c>
      <c r="F56" s="42">
        <v>111.93</v>
      </c>
      <c r="G56" s="118">
        <v>8900.6736000000001</v>
      </c>
      <c r="H56" s="43">
        <v>2252.5</v>
      </c>
      <c r="I56" s="43">
        <v>544</v>
      </c>
      <c r="J56" s="43">
        <v>339.1</v>
      </c>
      <c r="K56" s="43">
        <v>348.5</v>
      </c>
      <c r="L56" s="43">
        <v>179.6</v>
      </c>
      <c r="M56" s="43">
        <v>166.3</v>
      </c>
      <c r="N56" s="4">
        <v>168.6</v>
      </c>
      <c r="O56" s="4">
        <v>174.7</v>
      </c>
      <c r="P56" s="4">
        <v>193.2</v>
      </c>
      <c r="Q56" s="4">
        <v>171.8</v>
      </c>
      <c r="R56" s="4">
        <v>174.3</v>
      </c>
      <c r="S56" s="4">
        <v>4538.3</v>
      </c>
      <c r="T56" s="7"/>
    </row>
    <row r="57" spans="1:20" x14ac:dyDescent="0.35">
      <c r="A57" s="42" t="s">
        <v>33</v>
      </c>
      <c r="B57" s="42">
        <v>2022</v>
      </c>
      <c r="C57" s="42" t="s">
        <v>40</v>
      </c>
      <c r="D57" s="42" t="s">
        <v>64</v>
      </c>
      <c r="E57" s="42" t="s">
        <v>32</v>
      </c>
      <c r="F57" s="42">
        <v>111.93</v>
      </c>
      <c r="G57" s="118">
        <v>8900.6736000000001</v>
      </c>
      <c r="H57" s="43">
        <v>2291.6</v>
      </c>
      <c r="I57" s="43">
        <v>502</v>
      </c>
      <c r="J57" s="43">
        <v>330.9</v>
      </c>
      <c r="K57" s="43">
        <v>341.5</v>
      </c>
      <c r="L57" s="43">
        <v>179.5</v>
      </c>
      <c r="M57" s="43">
        <v>157.4</v>
      </c>
      <c r="N57" s="4">
        <v>164.6</v>
      </c>
      <c r="O57" s="4">
        <v>169.1</v>
      </c>
      <c r="P57" s="4">
        <v>198.6</v>
      </c>
      <c r="Q57" s="4">
        <v>164.7</v>
      </c>
      <c r="R57" s="4">
        <v>172.3</v>
      </c>
      <c r="S57" s="4">
        <v>4499.9000000000005</v>
      </c>
      <c r="T57" s="7"/>
    </row>
    <row r="58" spans="1:20" x14ac:dyDescent="0.35">
      <c r="A58" s="42" t="s">
        <v>34</v>
      </c>
      <c r="B58" s="42">
        <v>2022</v>
      </c>
      <c r="C58" s="42" t="s">
        <v>40</v>
      </c>
      <c r="D58" s="42" t="s">
        <v>64</v>
      </c>
      <c r="E58" s="42" t="s">
        <v>32</v>
      </c>
      <c r="F58" s="42">
        <v>111.93</v>
      </c>
      <c r="G58" s="118">
        <v>8900.6736000000001</v>
      </c>
      <c r="H58" s="43">
        <v>2266.3000000000002</v>
      </c>
      <c r="I58" s="43">
        <v>526.90000000000009</v>
      </c>
      <c r="J58" s="43">
        <v>335.20000000000005</v>
      </c>
      <c r="K58" s="43">
        <v>345.79999999999995</v>
      </c>
      <c r="L58" s="43">
        <v>179.6</v>
      </c>
      <c r="M58" s="43">
        <v>161.6</v>
      </c>
      <c r="N58" s="4">
        <v>166.3</v>
      </c>
      <c r="O58" s="4">
        <v>171.4</v>
      </c>
      <c r="P58" s="4">
        <v>194.6</v>
      </c>
      <c r="Q58" s="4">
        <v>168.4</v>
      </c>
      <c r="R58" s="4">
        <v>173.4</v>
      </c>
      <c r="S58" s="4">
        <v>4516.1000000000004</v>
      </c>
      <c r="T58" s="7"/>
    </row>
    <row r="59" spans="1:20" x14ac:dyDescent="0.35">
      <c r="A59" s="42" t="s">
        <v>30</v>
      </c>
      <c r="B59" s="42">
        <v>2022</v>
      </c>
      <c r="C59" s="42" t="s">
        <v>41</v>
      </c>
      <c r="D59" s="42" t="s">
        <v>60</v>
      </c>
      <c r="E59" s="42" t="s">
        <v>32</v>
      </c>
      <c r="F59" s="42">
        <v>100.45</v>
      </c>
      <c r="G59" s="118">
        <v>7992.8064999999997</v>
      </c>
      <c r="H59" s="43">
        <v>2255.7999999999997</v>
      </c>
      <c r="I59" s="43">
        <v>547.9</v>
      </c>
      <c r="J59" s="43">
        <v>341.3</v>
      </c>
      <c r="K59" s="43">
        <v>350.5</v>
      </c>
      <c r="L59" s="43">
        <v>179.1</v>
      </c>
      <c r="M59" s="43">
        <v>166.6</v>
      </c>
      <c r="N59" s="4">
        <v>169.3</v>
      </c>
      <c r="O59" s="4">
        <v>175.7</v>
      </c>
      <c r="P59" s="4">
        <v>193.7</v>
      </c>
      <c r="Q59" s="4">
        <v>172.6</v>
      </c>
      <c r="R59" s="4">
        <v>175.3</v>
      </c>
      <c r="S59" s="4">
        <v>4552.5</v>
      </c>
      <c r="T59" s="7"/>
    </row>
    <row r="60" spans="1:20" x14ac:dyDescent="0.35">
      <c r="A60" s="42" t="s">
        <v>33</v>
      </c>
      <c r="B60" s="42">
        <v>2022</v>
      </c>
      <c r="C60" s="42" t="s">
        <v>41</v>
      </c>
      <c r="D60" s="42" t="s">
        <v>60</v>
      </c>
      <c r="E60" s="42" t="s">
        <v>32</v>
      </c>
      <c r="F60" s="42">
        <v>100.45</v>
      </c>
      <c r="G60" s="118">
        <v>7992.8064999999997</v>
      </c>
      <c r="H60" s="43">
        <v>2293.6999999999998</v>
      </c>
      <c r="I60" s="43">
        <v>505.29999999999995</v>
      </c>
      <c r="J60" s="43">
        <v>333.2</v>
      </c>
      <c r="K60" s="43">
        <v>344</v>
      </c>
      <c r="L60" s="43">
        <v>178.4</v>
      </c>
      <c r="M60" s="43">
        <v>157.69999999999999</v>
      </c>
      <c r="N60" s="4">
        <v>165.1</v>
      </c>
      <c r="O60" s="4">
        <v>169.9</v>
      </c>
      <c r="P60" s="4">
        <v>198.7</v>
      </c>
      <c r="Q60" s="4">
        <v>165.4</v>
      </c>
      <c r="R60" s="4">
        <v>173.1</v>
      </c>
      <c r="S60" s="4">
        <v>4511.3999999999987</v>
      </c>
      <c r="T60" s="7"/>
    </row>
    <row r="61" spans="1:20" x14ac:dyDescent="0.35">
      <c r="A61" s="42" t="s">
        <v>34</v>
      </c>
      <c r="B61" s="42">
        <v>2022</v>
      </c>
      <c r="C61" s="42" t="s">
        <v>41</v>
      </c>
      <c r="D61" s="42" t="s">
        <v>60</v>
      </c>
      <c r="E61" s="42" t="s">
        <v>32</v>
      </c>
      <c r="F61" s="42">
        <v>100.45</v>
      </c>
      <c r="G61" s="118">
        <v>7992.8064999999997</v>
      </c>
      <c r="H61" s="43">
        <v>2269.2000000000003</v>
      </c>
      <c r="I61" s="43">
        <v>530.70000000000005</v>
      </c>
      <c r="J61" s="43">
        <v>337.5</v>
      </c>
      <c r="K61" s="43">
        <v>348</v>
      </c>
      <c r="L61" s="43">
        <v>178.8</v>
      </c>
      <c r="M61" s="43">
        <v>161.9</v>
      </c>
      <c r="N61" s="4">
        <v>166.9</v>
      </c>
      <c r="O61" s="4">
        <v>172.3</v>
      </c>
      <c r="P61" s="4">
        <v>195</v>
      </c>
      <c r="Q61" s="4">
        <v>169.1</v>
      </c>
      <c r="R61" s="4">
        <v>174.3</v>
      </c>
      <c r="S61" s="4">
        <v>4529.4000000000015</v>
      </c>
      <c r="T61" s="7"/>
    </row>
    <row r="62" spans="1:20" x14ac:dyDescent="0.35">
      <c r="A62" s="42" t="s">
        <v>30</v>
      </c>
      <c r="B62" s="42">
        <v>2022</v>
      </c>
      <c r="C62" s="42" t="s">
        <v>42</v>
      </c>
      <c r="D62" s="42" t="s">
        <v>70</v>
      </c>
      <c r="E62" s="42" t="s">
        <v>32</v>
      </c>
      <c r="F62" s="42">
        <v>89.76</v>
      </c>
      <c r="G62" s="118">
        <v>7193.3664000000008</v>
      </c>
      <c r="H62" s="43">
        <v>2267.8000000000002</v>
      </c>
      <c r="I62" s="43">
        <v>552.5</v>
      </c>
      <c r="J62" s="43">
        <v>343.1</v>
      </c>
      <c r="K62" s="43">
        <v>351</v>
      </c>
      <c r="L62" s="43">
        <v>179.7</v>
      </c>
      <c r="M62" s="43">
        <v>166.9</v>
      </c>
      <c r="N62" s="4">
        <v>170</v>
      </c>
      <c r="O62" s="4">
        <v>176.2</v>
      </c>
      <c r="P62" s="4">
        <v>194.5</v>
      </c>
      <c r="Q62" s="4">
        <v>173.1</v>
      </c>
      <c r="R62" s="4">
        <v>176.4</v>
      </c>
      <c r="S62" s="4">
        <v>4574.8</v>
      </c>
      <c r="T62" s="7"/>
    </row>
    <row r="63" spans="1:20" x14ac:dyDescent="0.35">
      <c r="A63" s="42" t="s">
        <v>33</v>
      </c>
      <c r="B63" s="42">
        <v>2022</v>
      </c>
      <c r="C63" s="42" t="s">
        <v>42</v>
      </c>
      <c r="D63" s="42" t="s">
        <v>70</v>
      </c>
      <c r="E63" s="42" t="s">
        <v>32</v>
      </c>
      <c r="F63" s="42">
        <v>89.76</v>
      </c>
      <c r="G63" s="118">
        <v>7193.3664000000008</v>
      </c>
      <c r="H63" s="43">
        <v>2306.4</v>
      </c>
      <c r="I63" s="43">
        <v>509.7</v>
      </c>
      <c r="J63" s="43">
        <v>334.5</v>
      </c>
      <c r="K63" s="43">
        <v>344.9</v>
      </c>
      <c r="L63" s="43">
        <v>179.2</v>
      </c>
      <c r="M63" s="43">
        <v>158.19999999999999</v>
      </c>
      <c r="N63" s="4">
        <v>165.8</v>
      </c>
      <c r="O63" s="4">
        <v>170.9</v>
      </c>
      <c r="P63" s="4">
        <v>199.7</v>
      </c>
      <c r="Q63" s="4">
        <v>166.1</v>
      </c>
      <c r="R63" s="4">
        <v>174.1</v>
      </c>
      <c r="S63" s="4">
        <v>4535.3999999999996</v>
      </c>
      <c r="T63" s="7"/>
    </row>
    <row r="64" spans="1:20" x14ac:dyDescent="0.35">
      <c r="A64" s="42" t="s">
        <v>34</v>
      </c>
      <c r="B64" s="42">
        <v>2022</v>
      </c>
      <c r="C64" s="42" t="s">
        <v>42</v>
      </c>
      <c r="D64" s="42" t="s">
        <v>70</v>
      </c>
      <c r="E64" s="42" t="s">
        <v>32</v>
      </c>
      <c r="F64" s="42">
        <v>89.76</v>
      </c>
      <c r="G64" s="118">
        <v>7193.3664000000008</v>
      </c>
      <c r="H64" s="43">
        <v>2280.9</v>
      </c>
      <c r="I64" s="43">
        <v>535.1</v>
      </c>
      <c r="J64" s="43">
        <v>339</v>
      </c>
      <c r="K64" s="43">
        <v>348.70000000000005</v>
      </c>
      <c r="L64" s="43">
        <v>179.5</v>
      </c>
      <c r="M64" s="43">
        <v>162.30000000000001</v>
      </c>
      <c r="N64" s="4">
        <v>167.6</v>
      </c>
      <c r="O64" s="4">
        <v>173.1</v>
      </c>
      <c r="P64" s="4">
        <v>195.9</v>
      </c>
      <c r="Q64" s="4">
        <v>169.7</v>
      </c>
      <c r="R64" s="4">
        <v>175.3</v>
      </c>
      <c r="S64" s="4">
        <v>4551.7999999999993</v>
      </c>
      <c r="T64" s="7"/>
    </row>
    <row r="65" spans="1:20" x14ac:dyDescent="0.35">
      <c r="A65" s="42" t="s">
        <v>30</v>
      </c>
      <c r="B65" s="42">
        <v>2022</v>
      </c>
      <c r="C65" s="42" t="s">
        <v>43</v>
      </c>
      <c r="D65" s="42" t="s">
        <v>69</v>
      </c>
      <c r="E65" s="42" t="s">
        <v>32</v>
      </c>
      <c r="F65" s="42">
        <v>93.33</v>
      </c>
      <c r="G65" s="118">
        <v>7680.1257000000005</v>
      </c>
      <c r="H65" s="43">
        <v>2284.5</v>
      </c>
      <c r="I65" s="43">
        <v>556.4</v>
      </c>
      <c r="J65" s="43">
        <v>345.6</v>
      </c>
      <c r="K65" s="43">
        <v>353.2</v>
      </c>
      <c r="L65" s="43">
        <v>180.8</v>
      </c>
      <c r="M65" s="43">
        <v>167.4</v>
      </c>
      <c r="N65" s="4">
        <v>170.6</v>
      </c>
      <c r="O65" s="4">
        <v>176.5</v>
      </c>
      <c r="P65" s="4">
        <v>194.9</v>
      </c>
      <c r="Q65" s="4">
        <v>173.9</v>
      </c>
      <c r="R65" s="4">
        <v>177.9</v>
      </c>
      <c r="S65" s="4">
        <v>4603.7999999999993</v>
      </c>
      <c r="T65" s="7"/>
    </row>
    <row r="66" spans="1:20" x14ac:dyDescent="0.35">
      <c r="A66" s="42" t="s">
        <v>33</v>
      </c>
      <c r="B66" s="42">
        <v>2022</v>
      </c>
      <c r="C66" s="42" t="s">
        <v>43</v>
      </c>
      <c r="D66" s="42" t="s">
        <v>69</v>
      </c>
      <c r="E66" s="42" t="s">
        <v>32</v>
      </c>
      <c r="F66" s="42">
        <v>93.33</v>
      </c>
      <c r="G66" s="118">
        <v>7680.1257000000005</v>
      </c>
      <c r="H66" s="43">
        <v>2322.3000000000002</v>
      </c>
      <c r="I66" s="43">
        <v>511.70000000000005</v>
      </c>
      <c r="J66" s="43">
        <v>337.2</v>
      </c>
      <c r="K66" s="43">
        <v>347</v>
      </c>
      <c r="L66" s="43">
        <v>180</v>
      </c>
      <c r="M66" s="43">
        <v>158.80000000000001</v>
      </c>
      <c r="N66" s="4">
        <v>166.3</v>
      </c>
      <c r="O66" s="4">
        <v>171.2</v>
      </c>
      <c r="P66" s="4">
        <v>200.1</v>
      </c>
      <c r="Q66" s="4">
        <v>166.8</v>
      </c>
      <c r="R66" s="4">
        <v>175.3</v>
      </c>
      <c r="S66" s="4">
        <v>4561.4000000000005</v>
      </c>
      <c r="T66" s="7"/>
    </row>
    <row r="67" spans="1:20" x14ac:dyDescent="0.35">
      <c r="A67" s="42" t="s">
        <v>34</v>
      </c>
      <c r="B67" s="42">
        <v>2022</v>
      </c>
      <c r="C67" s="42" t="s">
        <v>43</v>
      </c>
      <c r="D67" s="42" t="s">
        <v>69</v>
      </c>
      <c r="E67" s="42" t="s">
        <v>32</v>
      </c>
      <c r="F67" s="42">
        <v>93.33</v>
      </c>
      <c r="G67" s="118">
        <v>7680.1257000000005</v>
      </c>
      <c r="H67" s="43">
        <v>2297.3000000000002</v>
      </c>
      <c r="I67" s="43">
        <v>538.20000000000005</v>
      </c>
      <c r="J67" s="43">
        <v>341.6</v>
      </c>
      <c r="K67" s="43">
        <v>350.79999999999995</v>
      </c>
      <c r="L67" s="43">
        <v>180.5</v>
      </c>
      <c r="M67" s="43">
        <v>162.9</v>
      </c>
      <c r="N67" s="4">
        <v>168.2</v>
      </c>
      <c r="O67" s="4">
        <v>173.4</v>
      </c>
      <c r="P67" s="4">
        <v>196.3</v>
      </c>
      <c r="Q67" s="4">
        <v>170.5</v>
      </c>
      <c r="R67" s="4">
        <v>176.7</v>
      </c>
      <c r="S67" s="4">
        <v>4579.7</v>
      </c>
      <c r="T67" s="7"/>
    </row>
    <row r="68" spans="1:20" x14ac:dyDescent="0.35">
      <c r="A68" s="42" t="s">
        <v>30</v>
      </c>
      <c r="B68" s="42">
        <v>2022</v>
      </c>
      <c r="C68" s="42" t="s">
        <v>45</v>
      </c>
      <c r="D68" s="42" t="s">
        <v>68</v>
      </c>
      <c r="E68" s="42" t="s">
        <v>32</v>
      </c>
      <c r="F68" s="42">
        <v>91.42</v>
      </c>
      <c r="G68" s="118">
        <v>7460.7862000000005</v>
      </c>
      <c r="H68" s="43">
        <v>2287.6999999999998</v>
      </c>
      <c r="I68" s="43">
        <v>559.29999999999995</v>
      </c>
      <c r="J68" s="43">
        <v>347.3</v>
      </c>
      <c r="K68" s="43">
        <v>355.70000000000005</v>
      </c>
      <c r="L68" s="43">
        <v>181.9</v>
      </c>
      <c r="M68" s="43">
        <v>167.5</v>
      </c>
      <c r="N68" s="4">
        <v>170.8</v>
      </c>
      <c r="O68" s="4">
        <v>176.9</v>
      </c>
      <c r="P68" s="4">
        <v>195.5</v>
      </c>
      <c r="Q68" s="4">
        <v>174.6</v>
      </c>
      <c r="R68" s="4">
        <v>177.8</v>
      </c>
      <c r="S68" s="4">
        <v>4617.2000000000007</v>
      </c>
      <c r="T68" s="7"/>
    </row>
    <row r="69" spans="1:20" x14ac:dyDescent="0.35">
      <c r="A69" s="42" t="s">
        <v>33</v>
      </c>
      <c r="B69" s="42">
        <v>2022</v>
      </c>
      <c r="C69" s="42" t="s">
        <v>45</v>
      </c>
      <c r="D69" s="42" t="s">
        <v>68</v>
      </c>
      <c r="E69" s="42" t="s">
        <v>32</v>
      </c>
      <c r="F69" s="42">
        <v>91.42</v>
      </c>
      <c r="G69" s="118">
        <v>7460.7862000000005</v>
      </c>
      <c r="H69" s="43">
        <v>2314.4</v>
      </c>
      <c r="I69" s="43">
        <v>514.9</v>
      </c>
      <c r="J69" s="43">
        <v>338.70000000000005</v>
      </c>
      <c r="K69" s="43">
        <v>349.6</v>
      </c>
      <c r="L69" s="43">
        <v>180.3</v>
      </c>
      <c r="M69" s="43">
        <v>158.9</v>
      </c>
      <c r="N69" s="4">
        <v>166.7</v>
      </c>
      <c r="O69" s="4">
        <v>171.5</v>
      </c>
      <c r="P69" s="4">
        <v>200.6</v>
      </c>
      <c r="Q69" s="4">
        <v>167.4</v>
      </c>
      <c r="R69" s="4">
        <v>174.1</v>
      </c>
      <c r="S69" s="4">
        <v>4563</v>
      </c>
      <c r="T69" s="7"/>
    </row>
    <row r="70" spans="1:20" x14ac:dyDescent="0.35">
      <c r="A70" s="42" t="s">
        <v>34</v>
      </c>
      <c r="B70" s="42">
        <v>2022</v>
      </c>
      <c r="C70" s="42" t="s">
        <v>45</v>
      </c>
      <c r="D70" s="42" t="s">
        <v>68</v>
      </c>
      <c r="E70" s="42" t="s">
        <v>32</v>
      </c>
      <c r="F70" s="42">
        <v>91.42</v>
      </c>
      <c r="G70" s="118">
        <v>7460.7862000000005</v>
      </c>
      <c r="H70" s="43">
        <v>2296.8000000000002</v>
      </c>
      <c r="I70" s="43">
        <v>541.4</v>
      </c>
      <c r="J70" s="43">
        <v>343.20000000000005</v>
      </c>
      <c r="K70" s="43">
        <v>353.4</v>
      </c>
      <c r="L70" s="43">
        <v>181.3</v>
      </c>
      <c r="M70" s="43">
        <v>163</v>
      </c>
      <c r="N70" s="4">
        <v>168.5</v>
      </c>
      <c r="O70" s="4">
        <v>173.7</v>
      </c>
      <c r="P70" s="4">
        <v>196.9</v>
      </c>
      <c r="Q70" s="4">
        <v>171.1</v>
      </c>
      <c r="R70" s="4">
        <v>176.5</v>
      </c>
      <c r="S70" s="4">
        <v>4589.3000000000011</v>
      </c>
      <c r="T70" s="7"/>
    </row>
    <row r="71" spans="1:20" x14ac:dyDescent="0.35">
      <c r="A71" s="42" t="s">
        <v>30</v>
      </c>
      <c r="B71" s="42">
        <v>2022</v>
      </c>
      <c r="C71" s="42" t="s">
        <v>46</v>
      </c>
      <c r="D71" s="42" t="s">
        <v>61</v>
      </c>
      <c r="E71" s="42" t="s">
        <v>32</v>
      </c>
      <c r="F71" s="42">
        <v>80.92</v>
      </c>
      <c r="G71" s="118">
        <v>6667.8080000000009</v>
      </c>
      <c r="H71" s="43">
        <v>2277.1</v>
      </c>
      <c r="I71" s="43">
        <v>561.79999999999995</v>
      </c>
      <c r="J71" s="43">
        <v>347.1</v>
      </c>
      <c r="K71" s="43">
        <v>359.2</v>
      </c>
      <c r="L71" s="43">
        <v>182.8</v>
      </c>
      <c r="M71" s="43">
        <v>167.8</v>
      </c>
      <c r="N71" s="4">
        <v>171.2</v>
      </c>
      <c r="O71" s="4">
        <v>177.3</v>
      </c>
      <c r="P71" s="4">
        <v>195.9</v>
      </c>
      <c r="Q71" s="4">
        <v>175.5</v>
      </c>
      <c r="R71" s="4">
        <v>177.1</v>
      </c>
      <c r="S71" s="4">
        <v>4615.6999999999989</v>
      </c>
      <c r="T71" s="7"/>
    </row>
    <row r="72" spans="1:20" x14ac:dyDescent="0.35">
      <c r="A72" s="42" t="s">
        <v>33</v>
      </c>
      <c r="B72" s="42">
        <v>2022</v>
      </c>
      <c r="C72" s="42" t="s">
        <v>46</v>
      </c>
      <c r="D72" s="42" t="s">
        <v>61</v>
      </c>
      <c r="E72" s="42" t="s">
        <v>32</v>
      </c>
      <c r="F72" s="42">
        <v>80.92</v>
      </c>
      <c r="G72" s="118">
        <v>6667.8080000000009</v>
      </c>
      <c r="H72" s="43">
        <v>2295.7999999999997</v>
      </c>
      <c r="I72" s="43">
        <v>517.9</v>
      </c>
      <c r="J72" s="43">
        <v>338</v>
      </c>
      <c r="K72" s="43">
        <v>353.2</v>
      </c>
      <c r="L72" s="43">
        <v>180.6</v>
      </c>
      <c r="M72" s="43">
        <v>159.4</v>
      </c>
      <c r="N72" s="4">
        <v>167.1</v>
      </c>
      <c r="O72" s="4">
        <v>171.8</v>
      </c>
      <c r="P72" s="4">
        <v>201.1</v>
      </c>
      <c r="Q72" s="4">
        <v>168.2</v>
      </c>
      <c r="R72" s="4">
        <v>174.1</v>
      </c>
      <c r="S72" s="4">
        <v>4553.0999999999995</v>
      </c>
      <c r="T72" s="7"/>
    </row>
    <row r="73" spans="1:20" x14ac:dyDescent="0.35">
      <c r="A73" s="42" t="s">
        <v>34</v>
      </c>
      <c r="B73" s="42">
        <v>2022</v>
      </c>
      <c r="C73" s="42" t="s">
        <v>46</v>
      </c>
      <c r="D73" s="42" t="s">
        <v>61</v>
      </c>
      <c r="E73" s="42" t="s">
        <v>32</v>
      </c>
      <c r="F73" s="42">
        <v>80.92</v>
      </c>
      <c r="G73" s="118">
        <v>6667.8080000000009</v>
      </c>
      <c r="H73" s="43">
        <v>2283.4</v>
      </c>
      <c r="I73" s="43">
        <v>544</v>
      </c>
      <c r="J73" s="43">
        <v>342.79999999999995</v>
      </c>
      <c r="K73" s="43">
        <v>356.9</v>
      </c>
      <c r="L73" s="43">
        <v>182</v>
      </c>
      <c r="M73" s="43">
        <v>163.4</v>
      </c>
      <c r="N73" s="4">
        <v>168.9</v>
      </c>
      <c r="O73" s="4">
        <v>174.1</v>
      </c>
      <c r="P73" s="4">
        <v>197.3</v>
      </c>
      <c r="Q73" s="4">
        <v>172</v>
      </c>
      <c r="R73" s="4">
        <v>175.7</v>
      </c>
      <c r="S73" s="4">
        <v>4584.8</v>
      </c>
      <c r="T73" s="7"/>
    </row>
    <row r="74" spans="1:20" x14ac:dyDescent="0.35">
      <c r="A74" s="42" t="s">
        <v>30</v>
      </c>
      <c r="B74" s="42">
        <v>2023</v>
      </c>
      <c r="C74" s="42" t="s">
        <v>31</v>
      </c>
      <c r="D74" s="42" t="s">
        <v>63</v>
      </c>
      <c r="E74" s="42" t="s">
        <v>32</v>
      </c>
      <c r="F74" s="42">
        <v>82.5</v>
      </c>
      <c r="G74" s="118">
        <v>6745.2000000000007</v>
      </c>
      <c r="H74" s="43">
        <v>2283.2000000000003</v>
      </c>
      <c r="I74" s="43">
        <v>563.9</v>
      </c>
      <c r="J74" s="43">
        <v>349.29999999999995</v>
      </c>
      <c r="K74" s="43">
        <v>363.1</v>
      </c>
      <c r="L74" s="43">
        <v>183.2</v>
      </c>
      <c r="M74" s="43">
        <v>168.2</v>
      </c>
      <c r="N74" s="4">
        <v>171.8</v>
      </c>
      <c r="O74" s="4">
        <v>177.8</v>
      </c>
      <c r="P74" s="4">
        <v>196.9</v>
      </c>
      <c r="Q74" s="4">
        <v>176.5</v>
      </c>
      <c r="R74" s="4">
        <v>177.8</v>
      </c>
      <c r="S74" s="4">
        <v>4633.8999999999996</v>
      </c>
      <c r="T74" s="7"/>
    </row>
    <row r="75" spans="1:20" x14ac:dyDescent="0.35">
      <c r="A75" s="42" t="s">
        <v>33</v>
      </c>
      <c r="B75" s="42">
        <v>2023</v>
      </c>
      <c r="C75" s="42" t="s">
        <v>31</v>
      </c>
      <c r="D75" s="42" t="s">
        <v>63</v>
      </c>
      <c r="E75" s="42" t="s">
        <v>32</v>
      </c>
      <c r="F75" s="42">
        <v>82.5</v>
      </c>
      <c r="G75" s="118">
        <v>6745.2000000000007</v>
      </c>
      <c r="H75" s="43">
        <v>2310.2000000000003</v>
      </c>
      <c r="I75" s="43">
        <v>520.6</v>
      </c>
      <c r="J75" s="43">
        <v>340.1</v>
      </c>
      <c r="K75" s="43">
        <v>357.3</v>
      </c>
      <c r="L75" s="43">
        <v>180.1</v>
      </c>
      <c r="M75" s="43">
        <v>159.5</v>
      </c>
      <c r="N75" s="4">
        <v>167.8</v>
      </c>
      <c r="O75" s="4">
        <v>171.8</v>
      </c>
      <c r="P75" s="4">
        <v>201.6</v>
      </c>
      <c r="Q75" s="4">
        <v>168.9</v>
      </c>
      <c r="R75" s="4">
        <v>174.9</v>
      </c>
      <c r="S75" s="4">
        <v>4577.9000000000005</v>
      </c>
      <c r="T75" s="7"/>
    </row>
    <row r="76" spans="1:20" x14ac:dyDescent="0.35">
      <c r="A76" s="42" t="s">
        <v>34</v>
      </c>
      <c r="B76" s="42">
        <v>2023</v>
      </c>
      <c r="C76" s="42" t="s">
        <v>31</v>
      </c>
      <c r="D76" s="42" t="s">
        <v>63</v>
      </c>
      <c r="E76" s="42" t="s">
        <v>32</v>
      </c>
      <c r="F76" s="42">
        <v>82.5</v>
      </c>
      <c r="G76" s="118">
        <v>6745.2000000000007</v>
      </c>
      <c r="H76" s="43">
        <v>2292.6999999999998</v>
      </c>
      <c r="I76" s="43">
        <v>546.29999999999995</v>
      </c>
      <c r="J76" s="43">
        <v>345</v>
      </c>
      <c r="K76" s="43">
        <v>360.9</v>
      </c>
      <c r="L76" s="43">
        <v>182</v>
      </c>
      <c r="M76" s="43">
        <v>163.6</v>
      </c>
      <c r="N76" s="4">
        <v>169.5</v>
      </c>
      <c r="O76" s="4">
        <v>174.3</v>
      </c>
      <c r="P76" s="4">
        <v>198.2</v>
      </c>
      <c r="Q76" s="4">
        <v>172.8</v>
      </c>
      <c r="R76" s="4">
        <v>176.5</v>
      </c>
      <c r="S76" s="4">
        <v>4605.3</v>
      </c>
      <c r="T76" s="7"/>
    </row>
    <row r="77" spans="1:20" x14ac:dyDescent="0.35">
      <c r="A77" s="42" t="s">
        <v>30</v>
      </c>
      <c r="B77" s="42">
        <v>2023</v>
      </c>
      <c r="C77" s="42" t="s">
        <v>35</v>
      </c>
      <c r="D77" s="42" t="s">
        <v>62</v>
      </c>
      <c r="E77" s="42" t="s">
        <v>32</v>
      </c>
      <c r="F77" s="42">
        <v>82.59</v>
      </c>
      <c r="G77" s="118">
        <v>6821.1081000000004</v>
      </c>
      <c r="H77" s="43">
        <v>2265.6999999999998</v>
      </c>
      <c r="I77" s="43">
        <v>566.6</v>
      </c>
      <c r="J77" s="43">
        <v>352.1</v>
      </c>
      <c r="K77" s="43">
        <v>367.29999999999995</v>
      </c>
      <c r="L77" s="43">
        <v>181.6</v>
      </c>
      <c r="M77" s="43">
        <v>169</v>
      </c>
      <c r="N77" s="4">
        <v>172.8</v>
      </c>
      <c r="O77" s="4">
        <v>178.5</v>
      </c>
      <c r="P77" s="4">
        <v>198.3</v>
      </c>
      <c r="Q77" s="4">
        <v>177.9</v>
      </c>
      <c r="R77" s="4">
        <v>178</v>
      </c>
      <c r="S77" s="4">
        <v>4629.8</v>
      </c>
      <c r="T77" s="7"/>
    </row>
    <row r="78" spans="1:20" x14ac:dyDescent="0.35">
      <c r="A78" s="42" t="s">
        <v>33</v>
      </c>
      <c r="B78" s="42">
        <v>2023</v>
      </c>
      <c r="C78" s="42" t="s">
        <v>35</v>
      </c>
      <c r="D78" s="42" t="s">
        <v>62</v>
      </c>
      <c r="E78" s="42" t="s">
        <v>32</v>
      </c>
      <c r="F78" s="42">
        <v>82.59</v>
      </c>
      <c r="G78" s="118">
        <v>6821.1081000000004</v>
      </c>
      <c r="H78" s="43">
        <v>2303.1999999999998</v>
      </c>
      <c r="I78" s="43">
        <v>525.5</v>
      </c>
      <c r="J78" s="43">
        <v>342.7</v>
      </c>
      <c r="K78" s="43">
        <v>362.20000000000005</v>
      </c>
      <c r="L78" s="43">
        <v>182.8</v>
      </c>
      <c r="M78" s="43">
        <v>159.80000000000001</v>
      </c>
      <c r="N78" s="4">
        <v>168.4</v>
      </c>
      <c r="O78" s="4">
        <v>172.5</v>
      </c>
      <c r="P78" s="4">
        <v>202.7</v>
      </c>
      <c r="Q78" s="4">
        <v>170</v>
      </c>
      <c r="R78" s="4">
        <v>176.3</v>
      </c>
      <c r="S78" s="4">
        <v>4589.8</v>
      </c>
      <c r="T78" s="7"/>
    </row>
    <row r="79" spans="1:20" x14ac:dyDescent="0.35">
      <c r="A79" s="42" t="s">
        <v>34</v>
      </c>
      <c r="B79" s="42">
        <v>2023</v>
      </c>
      <c r="C79" s="42" t="s">
        <v>35</v>
      </c>
      <c r="D79" s="42" t="s">
        <v>62</v>
      </c>
      <c r="E79" s="42" t="s">
        <v>32</v>
      </c>
      <c r="F79" s="42">
        <v>82.59</v>
      </c>
      <c r="G79" s="118">
        <v>6821.1081000000004</v>
      </c>
      <c r="H79" s="43">
        <v>2279.1</v>
      </c>
      <c r="I79" s="43">
        <v>550</v>
      </c>
      <c r="J79" s="43">
        <v>347.7</v>
      </c>
      <c r="K79" s="43">
        <v>365.4</v>
      </c>
      <c r="L79" s="43">
        <v>182.1</v>
      </c>
      <c r="M79" s="43">
        <v>164.2</v>
      </c>
      <c r="N79" s="4">
        <v>170.3</v>
      </c>
      <c r="O79" s="4">
        <v>175</v>
      </c>
      <c r="P79" s="4">
        <v>199.5</v>
      </c>
      <c r="Q79" s="4">
        <v>174.1</v>
      </c>
      <c r="R79" s="4">
        <v>177.2</v>
      </c>
      <c r="S79" s="4">
        <v>4607.3999999999996</v>
      </c>
      <c r="T79" s="7"/>
    </row>
    <row r="80" spans="1:20" x14ac:dyDescent="0.35">
      <c r="A80" s="42" t="s">
        <v>30</v>
      </c>
      <c r="B80" s="42">
        <v>2023</v>
      </c>
      <c r="C80" s="42" t="s">
        <v>36</v>
      </c>
      <c r="D80" s="42" t="s">
        <v>66</v>
      </c>
      <c r="E80" s="42" t="s">
        <v>32</v>
      </c>
      <c r="F80" s="42">
        <v>78.430000000000007</v>
      </c>
      <c r="G80" s="118">
        <v>6450.8675000000003</v>
      </c>
      <c r="H80" s="43">
        <v>2265.8000000000002</v>
      </c>
      <c r="I80" s="43">
        <v>566.6</v>
      </c>
      <c r="J80" s="43">
        <v>352.1</v>
      </c>
      <c r="K80" s="43">
        <v>367.29999999999995</v>
      </c>
      <c r="L80" s="43">
        <v>181.4</v>
      </c>
      <c r="M80" s="43">
        <v>169</v>
      </c>
      <c r="N80" s="4">
        <v>172.8</v>
      </c>
      <c r="O80" s="4">
        <v>178.5</v>
      </c>
      <c r="P80" s="4">
        <v>198.4</v>
      </c>
      <c r="Q80" s="4">
        <v>177.9</v>
      </c>
      <c r="R80" s="4">
        <v>178</v>
      </c>
      <c r="S80" s="4">
        <v>4629.7999999999993</v>
      </c>
      <c r="T80" s="7"/>
    </row>
    <row r="81" spans="1:20" x14ac:dyDescent="0.35">
      <c r="A81" s="42" t="s">
        <v>33</v>
      </c>
      <c r="B81" s="42">
        <v>2023</v>
      </c>
      <c r="C81" s="42" t="s">
        <v>36</v>
      </c>
      <c r="D81" s="42" t="s">
        <v>66</v>
      </c>
      <c r="E81" s="42" t="s">
        <v>32</v>
      </c>
      <c r="F81" s="42">
        <v>78.430000000000007</v>
      </c>
      <c r="G81" s="118">
        <v>6450.8675000000003</v>
      </c>
      <c r="H81" s="43">
        <v>2303.4</v>
      </c>
      <c r="I81" s="43">
        <v>525.4</v>
      </c>
      <c r="J81" s="43">
        <v>342.7</v>
      </c>
      <c r="K81" s="43">
        <v>362.3</v>
      </c>
      <c r="L81" s="43">
        <v>182.6</v>
      </c>
      <c r="M81" s="43">
        <v>159.80000000000001</v>
      </c>
      <c r="N81" s="4">
        <v>168.4</v>
      </c>
      <c r="O81" s="4">
        <v>172.5</v>
      </c>
      <c r="P81" s="4">
        <v>202.7</v>
      </c>
      <c r="Q81" s="4">
        <v>170</v>
      </c>
      <c r="R81" s="4">
        <v>176.3</v>
      </c>
      <c r="S81" s="4">
        <v>4589.8</v>
      </c>
      <c r="T81" s="7"/>
    </row>
    <row r="82" spans="1:20" x14ac:dyDescent="0.35">
      <c r="A82" s="42" t="s">
        <v>34</v>
      </c>
      <c r="B82" s="42">
        <v>2023</v>
      </c>
      <c r="C82" s="42" t="s">
        <v>36</v>
      </c>
      <c r="D82" s="42" t="s">
        <v>66</v>
      </c>
      <c r="E82" s="42" t="s">
        <v>32</v>
      </c>
      <c r="F82" s="42">
        <v>78.430000000000007</v>
      </c>
      <c r="G82" s="118">
        <v>6450.8675000000003</v>
      </c>
      <c r="H82" s="43">
        <v>2279.1999999999998</v>
      </c>
      <c r="I82" s="43">
        <v>549.9</v>
      </c>
      <c r="J82" s="43">
        <v>347.7</v>
      </c>
      <c r="K82" s="43">
        <v>365.4</v>
      </c>
      <c r="L82" s="43">
        <v>181.9</v>
      </c>
      <c r="M82" s="43">
        <v>164.2</v>
      </c>
      <c r="N82" s="4">
        <v>170.3</v>
      </c>
      <c r="O82" s="4">
        <v>175</v>
      </c>
      <c r="P82" s="4">
        <v>199.5</v>
      </c>
      <c r="Q82" s="4">
        <v>174.1</v>
      </c>
      <c r="R82" s="4">
        <v>177.2</v>
      </c>
      <c r="S82" s="4">
        <v>4607.2000000000007</v>
      </c>
      <c r="T82" s="7"/>
    </row>
    <row r="83" spans="1:20" x14ac:dyDescent="0.35">
      <c r="A83" s="42" t="s">
        <v>30</v>
      </c>
      <c r="B83" s="42">
        <v>2023</v>
      </c>
      <c r="C83" s="42" t="s">
        <v>37</v>
      </c>
      <c r="D83" s="42" t="s">
        <v>59</v>
      </c>
      <c r="E83" s="42" t="s">
        <v>32</v>
      </c>
      <c r="F83" s="42">
        <v>84.64</v>
      </c>
      <c r="G83" s="118">
        <v>6936.2480000000005</v>
      </c>
      <c r="H83" s="43">
        <v>2274.1999999999998</v>
      </c>
      <c r="I83" s="43">
        <v>568.20000000000005</v>
      </c>
      <c r="J83" s="43">
        <v>354.29999999999995</v>
      </c>
      <c r="K83" s="43">
        <v>371</v>
      </c>
      <c r="L83" s="43">
        <v>181.5</v>
      </c>
      <c r="M83" s="43">
        <v>169.4</v>
      </c>
      <c r="N83" s="4">
        <v>173.2</v>
      </c>
      <c r="O83" s="4">
        <v>179.4</v>
      </c>
      <c r="P83" s="4">
        <v>199.5</v>
      </c>
      <c r="Q83" s="4">
        <v>178.9</v>
      </c>
      <c r="R83" s="4">
        <v>178.8</v>
      </c>
      <c r="S83" s="4">
        <v>4649.5999999999995</v>
      </c>
      <c r="T83" s="7"/>
    </row>
    <row r="84" spans="1:20" x14ac:dyDescent="0.35">
      <c r="A84" s="42" t="s">
        <v>33</v>
      </c>
      <c r="B84" s="42">
        <v>2023</v>
      </c>
      <c r="C84" s="42" t="s">
        <v>37</v>
      </c>
      <c r="D84" s="42" t="s">
        <v>59</v>
      </c>
      <c r="E84" s="42" t="s">
        <v>32</v>
      </c>
      <c r="F84" s="42">
        <v>84.64</v>
      </c>
      <c r="G84" s="118">
        <v>6936.2480000000005</v>
      </c>
      <c r="H84" s="43">
        <v>2317.7000000000003</v>
      </c>
      <c r="I84" s="43">
        <v>527.6</v>
      </c>
      <c r="J84" s="43">
        <v>344.79999999999995</v>
      </c>
      <c r="K84" s="43">
        <v>365.9</v>
      </c>
      <c r="L84" s="43">
        <v>182.1</v>
      </c>
      <c r="M84" s="43">
        <v>160.1</v>
      </c>
      <c r="N84" s="4">
        <v>168.8</v>
      </c>
      <c r="O84" s="4">
        <v>174.2</v>
      </c>
      <c r="P84" s="4">
        <v>203.5</v>
      </c>
      <c r="Q84" s="4">
        <v>170.9</v>
      </c>
      <c r="R84" s="4">
        <v>177.4</v>
      </c>
      <c r="S84" s="4">
        <v>4615.6000000000004</v>
      </c>
      <c r="T84" s="7"/>
    </row>
    <row r="85" spans="1:20" x14ac:dyDescent="0.35">
      <c r="A85" s="42" t="s">
        <v>34</v>
      </c>
      <c r="B85" s="42">
        <v>2023</v>
      </c>
      <c r="C85" s="42" t="s">
        <v>37</v>
      </c>
      <c r="D85" s="42" t="s">
        <v>59</v>
      </c>
      <c r="E85" s="42" t="s">
        <v>32</v>
      </c>
      <c r="F85" s="42">
        <v>84.64</v>
      </c>
      <c r="G85" s="118">
        <v>6936.2480000000005</v>
      </c>
      <c r="H85" s="43">
        <v>2289.6000000000004</v>
      </c>
      <c r="I85" s="43">
        <v>551.79999999999995</v>
      </c>
      <c r="J85" s="43">
        <v>349.79999999999995</v>
      </c>
      <c r="K85" s="43">
        <v>369</v>
      </c>
      <c r="L85" s="43">
        <v>181.7</v>
      </c>
      <c r="M85" s="43">
        <v>164.5</v>
      </c>
      <c r="N85" s="4">
        <v>170.7</v>
      </c>
      <c r="O85" s="4">
        <v>176.4</v>
      </c>
      <c r="P85" s="4">
        <v>200.6</v>
      </c>
      <c r="Q85" s="4">
        <v>175</v>
      </c>
      <c r="R85" s="4">
        <v>178.1</v>
      </c>
      <c r="S85" s="4">
        <v>4629.1000000000004</v>
      </c>
      <c r="T85" s="7"/>
    </row>
    <row r="86" spans="1:20" x14ac:dyDescent="0.35">
      <c r="A86" s="42" t="s">
        <v>30</v>
      </c>
      <c r="B86" s="42">
        <v>2023</v>
      </c>
      <c r="C86" s="42" t="s">
        <v>38</v>
      </c>
      <c r="D86" s="42" t="s">
        <v>67</v>
      </c>
      <c r="E86" s="42" t="s">
        <v>32</v>
      </c>
      <c r="F86" s="42">
        <v>75.47</v>
      </c>
      <c r="G86" s="118">
        <v>6210.4263000000001</v>
      </c>
      <c r="H86" s="43">
        <v>2290.7000000000007</v>
      </c>
      <c r="I86" s="43">
        <v>569.90000000000009</v>
      </c>
      <c r="J86" s="43">
        <v>355.4</v>
      </c>
      <c r="K86" s="43">
        <v>372.70000000000005</v>
      </c>
      <c r="L86" s="43">
        <v>182.5</v>
      </c>
      <c r="M86" s="43">
        <v>169.7</v>
      </c>
      <c r="N86" s="4">
        <v>173.8</v>
      </c>
      <c r="O86" s="4">
        <v>180.3</v>
      </c>
      <c r="P86" s="4">
        <v>199.9</v>
      </c>
      <c r="Q86" s="4">
        <v>179.5</v>
      </c>
      <c r="R86" s="4">
        <v>179.8</v>
      </c>
      <c r="S86" s="4">
        <v>4674.4000000000005</v>
      </c>
      <c r="T86" s="7"/>
    </row>
    <row r="87" spans="1:20" x14ac:dyDescent="0.35">
      <c r="A87" s="42" t="s">
        <v>33</v>
      </c>
      <c r="B87" s="42">
        <v>2023</v>
      </c>
      <c r="C87" s="42" t="s">
        <v>38</v>
      </c>
      <c r="D87" s="42" t="s">
        <v>67</v>
      </c>
      <c r="E87" s="42" t="s">
        <v>32</v>
      </c>
      <c r="F87" s="42">
        <v>75.47</v>
      </c>
      <c r="G87" s="118">
        <v>6210.4263000000001</v>
      </c>
      <c r="H87" s="43">
        <v>2335.1</v>
      </c>
      <c r="I87" s="43">
        <v>528.70000000000005</v>
      </c>
      <c r="J87" s="43">
        <v>345.7</v>
      </c>
      <c r="K87" s="43">
        <v>367.79999999999995</v>
      </c>
      <c r="L87" s="43">
        <v>183.4</v>
      </c>
      <c r="M87" s="43">
        <v>160.4</v>
      </c>
      <c r="N87" s="4">
        <v>169.2</v>
      </c>
      <c r="O87" s="4">
        <v>174.8</v>
      </c>
      <c r="P87" s="4">
        <v>204.2</v>
      </c>
      <c r="Q87" s="4">
        <v>171.6</v>
      </c>
      <c r="R87" s="4">
        <v>178.2</v>
      </c>
      <c r="S87" s="4">
        <v>4640.9000000000005</v>
      </c>
      <c r="T87" s="7"/>
    </row>
    <row r="88" spans="1:20" x14ac:dyDescent="0.35">
      <c r="A88" s="42" t="s">
        <v>34</v>
      </c>
      <c r="B88" s="42">
        <v>2023</v>
      </c>
      <c r="C88" s="42" t="s">
        <v>38</v>
      </c>
      <c r="D88" s="42" t="s">
        <v>67</v>
      </c>
      <c r="E88" s="42" t="s">
        <v>32</v>
      </c>
      <c r="F88" s="42">
        <v>75.47</v>
      </c>
      <c r="G88" s="118">
        <v>6210.4263000000001</v>
      </c>
      <c r="H88" s="43">
        <v>2306.9</v>
      </c>
      <c r="I88" s="43">
        <v>553.20000000000005</v>
      </c>
      <c r="J88" s="43">
        <v>350.79999999999995</v>
      </c>
      <c r="K88" s="43">
        <v>370.9</v>
      </c>
      <c r="L88" s="43">
        <v>182.8</v>
      </c>
      <c r="M88" s="43">
        <v>164.8</v>
      </c>
      <c r="N88" s="4">
        <v>171.2</v>
      </c>
      <c r="O88" s="4">
        <v>177.1</v>
      </c>
      <c r="P88" s="4">
        <v>201</v>
      </c>
      <c r="Q88" s="4">
        <v>175.7</v>
      </c>
      <c r="R88" s="4">
        <v>179.1</v>
      </c>
      <c r="S88" s="4">
        <v>4654.4000000000015</v>
      </c>
      <c r="T88" s="7"/>
    </row>
    <row r="89" spans="1:20" s="58" customFormat="1" x14ac:dyDescent="0.35">
      <c r="F89" s="59" t="s">
        <v>125</v>
      </c>
      <c r="G89" s="42"/>
      <c r="H89" s="60">
        <f>CORREL($G$2:$G$88,H$2:H$88)</f>
        <v>0.68632754768657755</v>
      </c>
      <c r="I89" s="60">
        <f>CORREL($G$2:$G$88,I$2:I$88)</f>
        <v>0.580470830290573</v>
      </c>
      <c r="J89" s="60">
        <f>CORREL($G$2:$G$88,J$2:J$88)</f>
        <v>0.58274992117179769</v>
      </c>
      <c r="K89" s="60">
        <f>CORREL($G$2:$G$88,K$2:K$88)</f>
        <v>0.54857641572116045</v>
      </c>
      <c r="L89" s="60">
        <f>CORREL($G$2:$G$88,L$2:L$88)</f>
        <v>0.68410122696944431</v>
      </c>
      <c r="M89" s="60">
        <f>CORREL($G$2:$G$88,M$2:M$88)</f>
        <v>0.66904616980413845</v>
      </c>
      <c r="N89" s="60">
        <f>CORREL($G$2:$G$88,N$2:N$88)</f>
        <v>0.64198140233947876</v>
      </c>
      <c r="O89" s="60">
        <f>CORREL($G$2:$G$88,O$2:O$88)</f>
        <v>0.5107437585259953</v>
      </c>
      <c r="P89" s="60">
        <f>CORREL($G$2:$G$88,P$2:P$88)</f>
        <v>0.41854387673627536</v>
      </c>
      <c r="Q89" s="60">
        <f>CORREL($G$2:$G$88,Q$2:Q$88)</f>
        <v>0.59305511948857914</v>
      </c>
      <c r="R89" s="60">
        <f>CORREL($G$2:$G$88,R$2:R$88)</f>
        <v>0.6670261789623475</v>
      </c>
      <c r="S89" s="60">
        <f>CORREL($G$2:$G$88,S$2:S$88)</f>
        <v>0.66787753040031717</v>
      </c>
    </row>
    <row r="90" spans="1:20" s="58" customFormat="1" x14ac:dyDescent="0.35">
      <c r="F90" s="59" t="s">
        <v>126</v>
      </c>
      <c r="G90" s="42"/>
      <c r="H90" s="61" t="s">
        <v>128</v>
      </c>
      <c r="I90" s="61" t="s">
        <v>128</v>
      </c>
      <c r="J90" s="61" t="s">
        <v>128</v>
      </c>
      <c r="K90" s="61" t="s">
        <v>128</v>
      </c>
      <c r="L90" s="61" t="s">
        <v>128</v>
      </c>
      <c r="M90" s="61" t="s">
        <v>128</v>
      </c>
      <c r="N90" s="61" t="s">
        <v>128</v>
      </c>
      <c r="O90" s="61" t="s">
        <v>128</v>
      </c>
      <c r="P90" s="61" t="s">
        <v>127</v>
      </c>
      <c r="Q90" s="61" t="s">
        <v>128</v>
      </c>
      <c r="R90" s="61" t="s">
        <v>128</v>
      </c>
      <c r="S90" s="61" t="s">
        <v>128</v>
      </c>
    </row>
    <row r="92" spans="1:20" x14ac:dyDescent="0.35">
      <c r="H92" s="41" t="s">
        <v>155</v>
      </c>
    </row>
    <row r="101" spans="6:9" x14ac:dyDescent="0.35">
      <c r="F101" s="57"/>
      <c r="G101" s="57"/>
      <c r="H101" s="57"/>
      <c r="I101" s="57"/>
    </row>
  </sheetData>
  <autoFilter ref="A1:T88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All_India_Index_Upto_April23_My</vt:lpstr>
      <vt:lpstr>CPI_Updated</vt:lpstr>
      <vt:lpstr>Pivot</vt:lpstr>
      <vt:lpstr>Q1_Solution</vt:lpstr>
      <vt:lpstr>Q2_Solution</vt:lpstr>
      <vt:lpstr>Q3Support</vt:lpstr>
      <vt:lpstr>Q3_Solution</vt:lpstr>
      <vt:lpstr>Q4_Solution</vt:lpstr>
      <vt:lpstr>Q5Solution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Yadav</dc:creator>
  <cp:lastModifiedBy>Bhushan Yadav</cp:lastModifiedBy>
  <dcterms:created xsi:type="dcterms:W3CDTF">2025-08-27T11:20:04Z</dcterms:created>
  <dcterms:modified xsi:type="dcterms:W3CDTF">2025-09-04T18:31:28Z</dcterms:modified>
</cp:coreProperties>
</file>